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hitebridgecap-my.sharepoint.com/personal/laura_whitebridgec_com/Documents/Desktop/"/>
    </mc:Choice>
  </mc:AlternateContent>
  <xr:revisionPtr revIDLastSave="55" documentId="8_{75C7F718-AC54-814E-A0D2-D1E6C3F5268E}" xr6:coauthVersionLast="47" xr6:coauthVersionMax="47" xr10:uidLastSave="{84C69247-ABD9-4F48-B3FD-91A25B05BB08}"/>
  <bookViews>
    <workbookView xWindow="3480" yWindow="2540" windowWidth="27640" windowHeight="16940" activeTab="1" xr2:uid="{81FE700B-B32D-C04F-87C1-65CDFB00E477}"/>
  </bookViews>
  <sheets>
    <sheet name="Lenders_updated" sheetId="1" r:id="rId1"/>
    <sheet name="WBC Credit Advisory Pipeline" sheetId="2" r:id="rId2"/>
    <sheet name="Fields" sheetId="3" r:id="rId3"/>
  </sheets>
  <externalReferences>
    <externalReference r:id="rId4"/>
  </externalReferences>
  <definedNames>
    <definedName name="_xlnm._FilterDatabase" localSheetId="0" hidden="1">Lenders_updated!$A$2:$AL$321</definedName>
    <definedName name="_xlnm._FilterDatabase" localSheetId="1" hidden="1">'WBC Credit Advisory Pipeline'!$A$1:$R$48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2" l="1"/>
  <c r="H47" i="2"/>
  <c r="L46" i="2"/>
  <c r="H46" i="2"/>
  <c r="H45" i="2"/>
  <c r="H44" i="2"/>
  <c r="H43" i="2"/>
  <c r="H42" i="2"/>
  <c r="A42" i="2"/>
  <c r="A43" i="2" s="1"/>
  <c r="A44" i="2" s="1"/>
  <c r="A45" i="2" s="1"/>
  <c r="A46" i="2" s="1"/>
  <c r="A47" i="2" s="1"/>
  <c r="A48" i="2" s="1"/>
  <c r="H41" i="2"/>
  <c r="H40" i="2"/>
  <c r="H39" i="2"/>
  <c r="L38" i="2"/>
  <c r="H38" i="2"/>
  <c r="H37" i="2"/>
  <c r="A37" i="2"/>
  <c r="A38" i="2" s="1"/>
  <c r="H36" i="2"/>
  <c r="H35" i="2"/>
  <c r="L34" i="2"/>
  <c r="H34" i="2"/>
  <c r="A34" i="2"/>
  <c r="A36" i="2" s="1"/>
  <c r="L33" i="2"/>
  <c r="H33" i="2"/>
  <c r="L32" i="2"/>
  <c r="H32" i="2"/>
  <c r="L31" i="2"/>
  <c r="H31" i="2"/>
  <c r="L30" i="2"/>
  <c r="H30" i="2"/>
  <c r="H29" i="2"/>
  <c r="L28" i="2"/>
  <c r="H28" i="2"/>
  <c r="H27" i="2"/>
  <c r="H26" i="2"/>
  <c r="H25" i="2"/>
  <c r="H24" i="2"/>
  <c r="L23" i="2"/>
  <c r="H23" i="2"/>
  <c r="H22" i="2"/>
  <c r="H21" i="2"/>
  <c r="L20" i="2"/>
  <c r="H20" i="2"/>
  <c r="L19" i="2"/>
  <c r="H19" i="2"/>
  <c r="H18" i="2"/>
  <c r="L17" i="2"/>
  <c r="H17" i="2"/>
  <c r="L16" i="2"/>
  <c r="H16" i="2"/>
  <c r="H15" i="2"/>
  <c r="H14" i="2"/>
  <c r="A14" i="2"/>
  <c r="A15" i="2" s="1"/>
  <c r="L13" i="2"/>
  <c r="H12" i="2"/>
  <c r="L11" i="2"/>
  <c r="H11" i="2"/>
  <c r="H10" i="2"/>
  <c r="H9" i="2"/>
  <c r="L8" i="2"/>
  <c r="H8" i="2"/>
  <c r="L7" i="2"/>
  <c r="H7" i="2"/>
  <c r="L6" i="2"/>
  <c r="H6" i="2"/>
  <c r="L5" i="2"/>
  <c r="H5" i="2"/>
  <c r="L4" i="2"/>
  <c r="H4" i="2"/>
  <c r="H3" i="2"/>
  <c r="H2" i="2"/>
  <c r="A2" i="2"/>
  <c r="A3" i="2" s="1"/>
  <c r="A4" i="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16" i="2" l="1"/>
  <c r="A17" i="2" s="1"/>
  <c r="A19" i="2"/>
  <c r="A20" i="2" s="1"/>
  <c r="A6" i="2"/>
  <c r="A9" i="2" s="1"/>
  <c r="A10" i="2" s="1"/>
  <c r="A11" i="2" s="1"/>
  <c r="A5" i="2"/>
  <c r="A22" i="2" l="1"/>
  <c r="A21" i="2"/>
  <c r="A12" i="2"/>
  <c r="A23" i="2" l="1"/>
  <c r="A24" i="2" s="1"/>
  <c r="A25" i="2" s="1"/>
  <c r="A26" i="2" s="1"/>
  <c r="A27" i="2" s="1"/>
  <c r="A28" i="2" s="1"/>
  <c r="A29" i="2" s="1"/>
  <c r="A30" i="2" s="1"/>
  <c r="A31" i="2" s="1"/>
  <c r="A32" i="2" s="1"/>
</calcChain>
</file>

<file path=xl/sharedStrings.xml><?xml version="1.0" encoding="utf-8"?>
<sst xmlns="http://schemas.openxmlformats.org/spreadsheetml/2006/main" count="3194" uniqueCount="563">
  <si>
    <t>#</t>
  </si>
  <si>
    <t>Lender Name</t>
  </si>
  <si>
    <t>Done</t>
  </si>
  <si>
    <t>Website</t>
  </si>
  <si>
    <t>Contact Name</t>
  </si>
  <si>
    <t>Linkedin Profile</t>
  </si>
  <si>
    <t>Contact E-Mail</t>
  </si>
  <si>
    <t>Lender Type</t>
  </si>
  <si>
    <t>CRE - Construction</t>
  </si>
  <si>
    <t>CRE-Residential</t>
  </si>
  <si>
    <t>CRE - Land</t>
  </si>
  <si>
    <t>CRE - Office</t>
  </si>
  <si>
    <t>CRE - Industrial</t>
  </si>
  <si>
    <t>CRE - Hotel</t>
  </si>
  <si>
    <t>CRE - Retail</t>
  </si>
  <si>
    <t>CRE - Other</t>
  </si>
  <si>
    <t>Real Estate</t>
  </si>
  <si>
    <t>Aircraft</t>
  </si>
  <si>
    <t>Art</t>
  </si>
  <si>
    <t>Insurance Premium</t>
  </si>
  <si>
    <t>Yacht</t>
  </si>
  <si>
    <t>Sports</t>
  </si>
  <si>
    <t>Fund - LP</t>
  </si>
  <si>
    <t>Fund - NAV</t>
  </si>
  <si>
    <t>Fund - GP</t>
  </si>
  <si>
    <t>Fund - Mgmt Company</t>
  </si>
  <si>
    <t>Fund - SCF</t>
  </si>
  <si>
    <t>Other Financing (specify)</t>
  </si>
  <si>
    <t>Senior</t>
  </si>
  <si>
    <t>Subbordinated</t>
  </si>
  <si>
    <t>Recourse</t>
  </si>
  <si>
    <t>Non-recourse</t>
  </si>
  <si>
    <t>Based In</t>
  </si>
  <si>
    <t>Geographic Coverage 
(Domestic, International, Global)</t>
  </si>
  <si>
    <t>Lender Location (City, State, Country)</t>
  </si>
  <si>
    <t>Note</t>
  </si>
  <si>
    <t>Ford</t>
  </si>
  <si>
    <t>Regional Bank</t>
  </si>
  <si>
    <t>X</t>
  </si>
  <si>
    <t>South Bend, IN</t>
  </si>
  <si>
    <t>Domestic</t>
  </si>
  <si>
    <t>Indiana</t>
  </si>
  <si>
    <t>loan area: NAM &amp; LATAM. loan value range: $250K - $10MM. estimated book size: $300MM. comment: Small regional bank in South Bend</t>
  </si>
  <si>
    <t>Mexico City, Mexico</t>
  </si>
  <si>
    <t>Mexico City</t>
  </si>
  <si>
    <t>Tailored terms, local currency, structured notes</t>
  </si>
  <si>
    <t>US</t>
  </si>
  <si>
    <t>Global</t>
  </si>
  <si>
    <t>San Antonio, Texas</t>
  </si>
  <si>
    <t>Affinius Capital's strategies focus on value creation and income generation through commercial real estate investments in sectors such as industrial/logistics, multi-family housing, data centers. Construction, mezz lending. Similar appetite to madison realty</t>
  </si>
  <si>
    <t>Private Credit Fund</t>
  </si>
  <si>
    <t>Chandler, AZ</t>
  </si>
  <si>
    <t>Arizona</t>
  </si>
  <si>
    <t>loan area: U.S.. loan value range: $100K - $20MM. estimated book size: $250MM. comment: Is mostly a broker in the small aircraft space</t>
  </si>
  <si>
    <t>Private Credit / Structured Debt / Alternative Lending</t>
  </si>
  <si>
    <t>US, Mexico</t>
  </si>
  <si>
    <t>International</t>
  </si>
  <si>
    <t>Bridge financing in US and Mexico for non-bank financial institutions (3 yr term, 18% IRR in MXN and 15% in USD) and Enterprise Loans/ CF Loans at 2.5x to 3x EBITDA, 5 yr term and same IRR targets. Senior secured, no subordinated positions</t>
  </si>
  <si>
    <t xml:space="preserve">SOFOM ENR – Credit lines AC-FX and AC-MX
</t>
  </si>
  <si>
    <t>Monterrey, Mexico</t>
  </si>
  <si>
    <t>Monterrey</t>
  </si>
  <si>
    <t>Private credit (senior secured structured loans in MXN &amp; USD)</t>
  </si>
  <si>
    <t>Mexico</t>
  </si>
  <si>
    <t>Mexico, Monterrey</t>
  </si>
  <si>
    <t>Private equity terms, fund lifecycles ~8–10 years</t>
  </si>
  <si>
    <t>Florida &amp; texas</t>
  </si>
  <si>
    <t>Miami, FL, USA</t>
  </si>
  <si>
    <t xml:space="preserve">They are good with foreign nationals. Not doing financing in NY </t>
  </si>
  <si>
    <t>Local Bank</t>
  </si>
  <si>
    <t>Banking &amp; Lending Services (Commercial &amp; Personal Loans)</t>
  </si>
  <si>
    <t>Texas</t>
  </si>
  <si>
    <t>Terrell, Texas</t>
  </si>
  <si>
    <t>Omnilife project in the hopes as a potential lender.</t>
  </si>
  <si>
    <t>Fixed/adjustable loans, conventional terms</t>
  </si>
  <si>
    <t>Private Credit / Direct Lending (First Lien, Unitranche, Senior Secured Loans</t>
  </si>
  <si>
    <t>New York, NY</t>
  </si>
  <si>
    <t>Andalusia Credit is a BDC, so they need to do this one by one.
They do other deals too and will share their deck &amp; tear sheet for sponsor.
$1Bn raised, with 40% deployment, still raising. U.S. based borrowers with EBITDA between $5 to $150 million. No minimum tranche size; hold size $20 to $30 million</t>
  </si>
  <si>
    <t>New York</t>
  </si>
  <si>
    <t>Loan value Range: $500k-50M, Estimated Loan Book Size: $150,000,000.00</t>
  </si>
  <si>
    <t>Frederick, MD</t>
  </si>
  <si>
    <t>loan area: U.S &amp; Canada.. loan value range: $50K - $15MM. estimated book size: $200MM. comment: Sm. a/c only; Finance broker owned by the Aircraft Owner's &amp; Pilots Assoc.</t>
  </si>
  <si>
    <t>NY</t>
  </si>
  <si>
    <t>New York, NY, USA</t>
  </si>
  <si>
    <t>Apollo Can do different type of loans, we were introduced by Adam (see MidCap) and met in person with Derek on January 23, 2025 at his office in NY.</t>
  </si>
  <si>
    <t>Commercial mortgages (multifamily/office/retail),</t>
  </si>
  <si>
    <t xml:space="preserve">Stabilized CRE. Focus on low LTV, high DSCR, and debt yield &gt;10%. Can offer terms up to 10 years.
Pricing: SOFR + 200–300 bps. Geographic focus limited to branch footprint: NYC Metro Area, Westchester, and nearby.Borrower does not need to be domiciled in NY.
</t>
  </si>
  <si>
    <t>Uniondale, NY, USA</t>
  </si>
  <si>
    <t>Bridge, mezz and pref mainly for Multifamily</t>
  </si>
  <si>
    <t>Art-backed loans / customized credit facilities</t>
  </si>
  <si>
    <t>Loan value Range: $1-$100M, Estimated Loan Book Size: $100,000,000</t>
  </si>
  <si>
    <t>Los Angeles</t>
  </si>
  <si>
    <t>New, York</t>
  </si>
  <si>
    <t>big direct tickets o loan on loans para CRE</t>
  </si>
  <si>
    <t>Miami</t>
  </si>
  <si>
    <t>California</t>
  </si>
  <si>
    <t>They lend on variety of CRE property types. We have the construction criteria document.</t>
  </si>
  <si>
    <t>Kathia</t>
  </si>
  <si>
    <t>CA</t>
  </si>
  <si>
    <t>Santa Ana, CA</t>
  </si>
  <si>
    <t>North Carolina</t>
  </si>
  <si>
    <t>Charlotte, NC, USA</t>
  </si>
  <si>
    <t>Fixed-rate loans (~6.7%), up to 30 years, DSCR ≥ 1.20x</t>
  </si>
  <si>
    <t>Venture debt / asset-backed lines for fintechs &amp; growth companies</t>
  </si>
  <si>
    <t>Madrid, Spain &amp; Mexico</t>
  </si>
  <si>
    <t>México City (Spark Space CDMX)</t>
  </si>
  <si>
    <t>Flexible venture debt, startup-friendly terms</t>
  </si>
  <si>
    <t>Los Angeles, CA, USA</t>
  </si>
  <si>
    <t>Little Rock, AR, US</t>
  </si>
  <si>
    <t>Southlake, Texas</t>
  </si>
  <si>
    <t>Recourse constructions and acquisitions loans for all asset types except hospitals and assisted living.</t>
  </si>
  <si>
    <t>Financing and refinancing  for commercial real estate in the United States, more than USD $500 million in financing.  Focus areas include Texas, Miami, New York.</t>
  </si>
  <si>
    <t>Short-term SME loans, fintech platform, flexible APR</t>
  </si>
  <si>
    <t>Other Lender</t>
  </si>
  <si>
    <t>Agency loans (Fannie/Freddie), HUD, bridge loans; terms up to 30 years</t>
  </si>
  <si>
    <t>Global Asset Manager</t>
  </si>
  <si>
    <t>Zurich, Switzerland</t>
  </si>
  <si>
    <t>Impact loans, concessional rates, long-term</t>
  </si>
  <si>
    <t>CRE experience in Northeast</t>
  </si>
  <si>
    <t>Collector car financing (acquisitions, refi, LOC) secured by vehicles/collections.</t>
  </si>
  <si>
    <t>Michigan</t>
  </si>
  <si>
    <t>Loan value Range: $250k+, Estimated Loan Book Size: $50,000,000.00, Diligence (low 1-5 high)*: ?</t>
  </si>
  <si>
    <t xml:space="preserve">They finance CRE in New York and surrounding areas, specifically office properties in Manhattan.
</t>
  </si>
  <si>
    <t>private equity investment firm</t>
  </si>
  <si>
    <t>Nick is the head of residential where they can do big facilities for investments in the Resi space. He also heads asset-back lending and they are willing to look at anything big (ideally over $100m) although it seems their current expertise is in a few asset classes such as agricultural &amp; NAV lending. They could be flexible for big amounts. However he mentioned he’s willing to take a look at $25M non-recourse aircraft financing and the Sovereign Wealth Fund transaction.</t>
  </si>
  <si>
    <t>Luxemburgo</t>
  </si>
  <si>
    <t>Brazil</t>
  </si>
  <si>
    <t>Impact-focused credit, ~7–10% IRR targets</t>
  </si>
  <si>
    <t>Insurance Company</t>
  </si>
  <si>
    <t>Taipei, Taiwan</t>
  </si>
  <si>
    <t>loan area: Worldwide. loan value range: $5MM - $50MM. estimated book size: $1B. comment: Global Chinese Lender - will consider higher rate,harder to finance deals</t>
  </si>
  <si>
    <t xml:space="preserve">Florida </t>
  </si>
  <si>
    <t>Specialty Bridge	.
Loan Amount: $20 - $100 million
Interest Rate: Starting at SOFR + 4.00%
Loan Term: 12 - 48 months, including extensions
Amortization: Interest Only
Security	:First Mortgage Lien or Deed of Trust
Loan-to-Value:Up to 75%
Loan-to-Cost:Up to 80%
Origination/Exit Fees: 1 - 2%
Recourse: Non-recourse
DSCR: Not required
Sponsorship:Flexible, No BK/foreclosures in the past 5 years
Guarantor:No min. liquidity required. Asset-based loans only
Asset Types:All major asset types, including land
Loan Types:Quick closing, new construction, rehabilitation, repositioning, value-add, pre-development, loan purchases</t>
  </si>
  <si>
    <t>San Diego, CA</t>
  </si>
  <si>
    <t>Private debt / structured finance / mezzanine &amp; growth capital</t>
  </si>
  <si>
    <t>PE-style, growth capital, 5–7 year horizons</t>
  </si>
  <si>
    <t>Lima, Peru</t>
  </si>
  <si>
    <t>Custom M&amp;A and credit structures, local terms</t>
  </si>
  <si>
    <t>McLean, VA, USA</t>
  </si>
  <si>
    <t>McLean, VA</t>
  </si>
  <si>
    <t>Balance sheet lending, agency financing, REIT/fund lending; flexible terms</t>
  </si>
  <si>
    <t>El Monte, CA</t>
  </si>
  <si>
    <t>Global Bank</t>
  </si>
  <si>
    <t>Frankfurt, Germany</t>
  </si>
  <si>
    <t>loan area: Global. loan value range: $5MM - $100MM. estimated book size: $2B. comment: Private bank deals only</t>
  </si>
  <si>
    <t>Us, Canada</t>
  </si>
  <si>
    <t>Toronto, Canada</t>
  </si>
  <si>
    <t>Financing operating businesses with 7M to 30M of EBITDA, private equity, LBOs, they do owner occupied real estate. Pros are they have a pretty broad offering, are flexible and have an appetite for large deals. Cons are that they operate as a traditional private bank in that they require cross sell and they only do things in the US and Canada (lending and collateral). They can do aircraft lending.</t>
  </si>
  <si>
    <t>NY, Los Angeles, CA</t>
  </si>
  <si>
    <t>Commercial real estate loans; terms vary based on project and borrower profile</t>
  </si>
  <si>
    <t>Florida, Los Angeles</t>
  </si>
  <si>
    <t>Austin, Texas</t>
  </si>
  <si>
    <t>Mezzanine debt and structured preferred equity.                                     Loan Size: $4 MM - $25 MM 
Term: 1 – 5 years 
Leverage: Up to 85% 
Pricing: 1M Term SOFR + (8.0% – 15.0%) 
Accrual: Full accrual and partial cash payment. 
Amortization: Interest only 
Minimum DSCR: No requirement 
Prepayment Allowed with minimum interest payments. 
Use of Proceeds: Acquisition, Development, Transitional, Value Add, CapEx, Bridge 
Recourse: Non-recourse with standard carve-outs.</t>
  </si>
  <si>
    <t>San Francisco, CA, USA</t>
  </si>
  <si>
    <t xml:space="preserve">San Francisco, CA </t>
  </si>
  <si>
    <t>Private credit, 5–10% returns, flexible terms</t>
  </si>
  <si>
    <t>Montreal, QC</t>
  </si>
  <si>
    <t>loan area: Canada. loan value range: $5MM - $20MM. estimated book size: $500MM. comment: Small regional bank in Montreal</t>
  </si>
  <si>
    <t>loan area: global.. loan value range: $5MM - $75MM. estimated book size: $2B. comment: Focus is on higher rate, lower credit deals that banks will not consider. MX is OK</t>
  </si>
  <si>
    <t>Mill Valley, CA</t>
  </si>
  <si>
    <t>SME banking: crédito PyME, factoraje (incl. internacional), arrendamiento; cuentas e inversiones con IPAB</t>
  </si>
  <si>
    <t>Digital lending, short-medium term, SME focus</t>
  </si>
  <si>
    <t>Infrastructure &amp; renewables private-equity funds (greenfield &amp; brownfield)</t>
  </si>
  <si>
    <t>VC terms, equity-focused, early-stage</t>
  </si>
  <si>
    <t>US, Europe, Asia, Canada</t>
  </si>
  <si>
    <t>They have an $8Bn portfolio mainly big loan on loan facilities for Mortgage Reits, AMs, insurance companies and other lenders. But they also do direct lending for big tickets $150+. They can lend in US, Europe, Asia &amp; Canada. And are open to explore Mexico. Spreads on the 250 to 320 range. And advance rates of 70 to 75% on loan on loans.</t>
  </si>
  <si>
    <t>RE secured credit lines: collateral via trust</t>
  </si>
  <si>
    <t>Mexico, Florida, Texas</t>
  </si>
  <si>
    <t xml:space="preserve">Bridge Lender that can finance any type of real estate .Fund - financing assets in Mexico, Florida and Texas in USD and MXN. Maximum amount is us$20M. </t>
  </si>
  <si>
    <t>US, London, Belgium.</t>
  </si>
  <si>
    <t>London</t>
  </si>
  <si>
    <t>TV 50%, Size: 9-100M, Term: 2 years, SOFR +500-650 bps. Possession: Ability to take possession of the artworks.
No Conflict of Interest: Requires that the pieces are not sold through the same channels.</t>
  </si>
  <si>
    <t>Strong in CRE, flexible structuring</t>
  </si>
  <si>
    <t>El Segundo, California</t>
  </si>
  <si>
    <t>Minimum FICO: 680
Loan amounts from $200k - $5MM
Financed full-term interest reserves
Up to 85% LTC including interest reserve
12-, 18- and 24-month terms, interest-only
No interest charged on undrawn funds
Property types:
Attached and detached single family residential (SFR)
Townhomes
2-4 family residential
Entitled land</t>
  </si>
  <si>
    <t>SPAC terms, 2-year windows, equity-heavy</t>
  </si>
  <si>
    <t>Commercial real estate financing; terms vary based on market conditions</t>
  </si>
  <si>
    <t>They like asset based lending and have done a lot for UHNI. Pricing is above 500+ but they like a lot aircraft and have done Yatchs, Art, Private Shares. Minimum loan amount $75 million, sweet spot 75 to 300 million. Geographies: US, Europe, Australia &amp; Japan</t>
  </si>
  <si>
    <t>Private debt &amp; real estate funds (first-lien real estate debt)</t>
  </si>
  <si>
    <t>Santiago, Chile</t>
  </si>
  <si>
    <t>Chile</t>
  </si>
  <si>
    <t>Custom investment mandates, medium/long-term</t>
  </si>
  <si>
    <t>SBA lending (7a); Fintech sponsor bank</t>
  </si>
  <si>
    <t>Connecticut</t>
  </si>
  <si>
    <t>Darien &amp; Rowayton, Connecticut, USA</t>
  </si>
  <si>
    <t>Services: Finances ground-up construction and renovation projects, including condominium developments.                                                                                                                 Projects: Closed a $13.4 million acquisition and construction loan for a condominium building in Brooklyn.                                                                                                         Website:  https://drbank.com/commercial-lending/</t>
  </si>
  <si>
    <t>Danbury, Connecticut, US</t>
  </si>
  <si>
    <t>Boca Raton, FL</t>
  </si>
  <si>
    <t>loan area: Worldwide. loan value range: $5MM - $100MM. estimated book size: $4B. comment: Former GE Capital team</t>
  </si>
  <si>
    <t>Major metropolitan areas; open to office deals in NYC.</t>
  </si>
  <si>
    <t>Pasadena, CA, USA</t>
  </si>
  <si>
    <t>-DSCR: Minimum of 1.5x, but calculated favorably: Effective Gross Income = Potential Gross Income – 7% Vacancy. NOI = EGI – Expenses – 4% Management Fee. DSCR based on actual Debt Service, not a debt constant.
-Loan Structure: Amortization: 30 years, Term Options: 3, 5, 7-year fixed, then floating, Balloon: 10-year maturity
Current Rate: 6.75% fixed for initial term, Origination Fee: 0.50%.
-Recourse &amp; Liquidity: For stabilized ES properties, recourse is required, Can be a person or entity of substance. Low liquidity requirement: around 5% in-house, flexible</t>
  </si>
  <si>
    <t>Worldwide</t>
  </si>
  <si>
    <t>Loan value Range: $20M+, Estimated Loan Book Size: $3,000,000,000.00, Diligence (low 1-5 high)*: 5</t>
  </si>
  <si>
    <t>Mexico, colombia, Brazil</t>
  </si>
  <si>
    <t>Greenwich, CT, US</t>
  </si>
  <si>
    <t>Currency and Jurisdiction: USD, NY Law/ CA. Not applicable to ARC.12.EC.
Minimum Size: 28 to 70M, Term: 3-5 years. Strong Covenants. Interest: Principal + Interest (P + I). LTV 50% on assets inside and outside of the OPC. Returns: Mid-level, including any asset backing (10-11%).</t>
  </si>
  <si>
    <t>They lend against public policy initiatives that have tax credits: Historical Restoration, Renewal Energy, coming Office to Resi conversion in NY. $2B Aums</t>
  </si>
  <si>
    <t>Cleveland, OH</t>
  </si>
  <si>
    <t xml:space="preserve">loan area:NAM. loan value range:$5MM - $ 75MM. estimated book size: $1B. </t>
  </si>
  <si>
    <t>Private Debt / Structured Financing a empresas medianas (México)</t>
  </si>
  <si>
    <t>Flexible advisory terms, asset-specific structures</t>
  </si>
  <si>
    <t>Brokerage (equities, fixed income, FX)</t>
  </si>
  <si>
    <t>Traditional brokerage, variable term notes</t>
  </si>
  <si>
    <t>Mortgage Banking</t>
  </si>
  <si>
    <t>Spain</t>
  </si>
  <si>
    <t>Santa Cruz de Tenerife, España</t>
  </si>
  <si>
    <t>They focus in dry Residential Real Estate loans in Spain against luxury properties</t>
  </si>
  <si>
    <t>Equity, long-term loans, mezzanine; fund investments</t>
  </si>
  <si>
    <t>Helsinki, Finland</t>
  </si>
  <si>
    <t>Long-term impact loans, concessional, up to 15 yrs</t>
  </si>
  <si>
    <t>Direct lenders for small properties, loan amount: 1-10M, up to 4 units.</t>
  </si>
  <si>
    <t>Palm Beach, FL</t>
  </si>
  <si>
    <t>Loan value Range: $1-100M, Estimated Loan Book Size: $500,000,000.00, Diligence (low 1-5 high)*: 4</t>
  </si>
  <si>
    <t>Florida</t>
  </si>
  <si>
    <t xml:space="preserve">They do from ground up construction to stabilization. </t>
  </si>
  <si>
    <t>Aircrfat &amp; Marine Lending</t>
  </si>
  <si>
    <t>Stuart, FL</t>
  </si>
  <si>
    <t xml:space="preserve">loan area:NAM. loan value range:$500K- $ 50MM. estimated book size: $350MM. </t>
  </si>
  <si>
    <t>Loan value Range: $10M+, Estimated Loan Book Size: -, Diligence (low 1-5 high)*: 5</t>
  </si>
  <si>
    <t>Chicago, IL</t>
  </si>
  <si>
    <t>Chicago, IL, USA</t>
  </si>
  <si>
    <t>loan area: Global. loan value range: $5MM - $50MM. estimated book size: $200MM. comment: PE backed firm targeting middle market</t>
  </si>
  <si>
    <t>Services: Specializes in providing capital for condominium construction projects.
Portfolio: Includes financing for projects like 960 Franklin Avenue in Brooklyn.
Website: https://www.g4capitalpartners.com/ourportfolio</t>
  </si>
  <si>
    <t>Specialist in NY metro CRE, including office &amp; retail</t>
  </si>
  <si>
    <t>London, UK</t>
  </si>
  <si>
    <t>Alternative lending, short/medium term, fintech-focused</t>
  </si>
  <si>
    <t>Bridge, fix &amp; flip, rental, construction loans.</t>
  </si>
  <si>
    <t>Sherman Oaks, California</t>
  </si>
  <si>
    <t>Scottsdale, Arizona</t>
  </si>
  <si>
    <t>International loans, variable/fixed, full suite</t>
  </si>
  <si>
    <t>Bridgeport, CT</t>
  </si>
  <si>
    <t>loan area: US. loan value range: $1MM - $50MM. estimated book size: $750MM. comment: Very competetive strong regional bank</t>
  </si>
  <si>
    <t>Private Debt Funds, Factoring, Corporate Lending</t>
  </si>
  <si>
    <t>PE investments, tailored IRRs and exits</t>
  </si>
  <si>
    <t>Debt &amp; Equity placement; Agency (Fannie Mae, Freddie Mac, FHA/HUD), Bridge, CMBS; Preferred Equity</t>
  </si>
  <si>
    <t>HUD,CMBS,Bridge &amp; Mezzanine, Preferred equity</t>
  </si>
  <si>
    <t>Dallas, Texas</t>
  </si>
  <si>
    <t>We were analyzing the construction industrial financing for the Omni investment building.</t>
  </si>
  <si>
    <t>Investment Holding / Hedge Fund</t>
  </si>
  <si>
    <t>PE &amp; credit, IRR 10–15%, 3–7 years</t>
  </si>
  <si>
    <t>Washington, D.C., USA</t>
  </si>
  <si>
    <t>Development finance, low rates, 5–20 yrs</t>
  </si>
  <si>
    <t>They can do LP financing (40/60 LV), Loan on Loans (for income producing assets), rate: SOFR + above 5%, term: 3 to 6 years</t>
  </si>
  <si>
    <t>Funds, medium-term (5–7 yrs), Latin America focused</t>
  </si>
  <si>
    <t>Washington, D.C</t>
  </si>
  <si>
    <t>Blended finance, long-term loans, ~5–15 yrs</t>
  </si>
  <si>
    <t>Mezzanine positions in all types of assets</t>
  </si>
  <si>
    <t>Only Miami area. Up to 18mm, 1.25x DSCR. They will look into specialty assets o. Recourse for any one owning more than 20%. She can work with non-residents. Mostly Ecuador or where Banco Pichincha have presence. Recourse. Cashflowing or maybe construction multifamily, some indusitral, retail with strong tenants, stabilized offices in good locations. For a NRA always start with trackrecord and liquidity of the sponsor.</t>
  </si>
  <si>
    <t>Netherlands</t>
  </si>
  <si>
    <t>Loan value Range: $1M+, Estimated Loan Book Size: $1,000,000,000.00, Diligence (low 1-5 high)*: 5</t>
  </si>
  <si>
    <t>James is the US Head of Commercial Real Estate Finance of HSBC US</t>
  </si>
  <si>
    <t>Loan value Range: $1-10M, Estimated Loan Book Size: $20,000,000.00, Diligence (low 1-5 high)*: 3</t>
  </si>
  <si>
    <t>Active in NJ/Greater NY/CT/PA/MA/MD/DE/VA regions.</t>
  </si>
  <si>
    <t>Large bank with national CRE platform</t>
  </si>
  <si>
    <t>Amersfoort, Netherlands</t>
  </si>
  <si>
    <t>Concessional rates, social impact, long-term</t>
  </si>
  <si>
    <t>Loan value Range: $100k-$5M, Estimated Loan Book Size: $30,000,000.00, Diligence (low 1-5 high)*: 5</t>
  </si>
  <si>
    <t>Denver, CO</t>
  </si>
  <si>
    <t>Senior mortgage on Riverbend (Pensam)</t>
  </si>
  <si>
    <t>Services: Offers new construction loans covering up to 85% of the project cost, with loan amounts ranging from $250,000 to $10 million.                                                              Terms: 12-24 month interest-only periods, fast approvals, and funding.                                                                                                       Website: https://lendingone.com/loans/new-construction/new-york/brooklyn/</t>
  </si>
  <si>
    <t>Private equity and credit investments; flexible structures</t>
  </si>
  <si>
    <t>New York, Los Angeles</t>
  </si>
  <si>
    <t>Has invested in more than $2 billion of equity and development deals</t>
  </si>
  <si>
    <t>Loan value Range: $500k-100M, Estimated Loan Book Size: -, Diligence (low 1-5 high)*: 4</t>
  </si>
  <si>
    <t>Los Angeles, New York, Chicago, and San Francisco</t>
  </si>
  <si>
    <t>Loan Size: $20–$400 million
Loan Type: First Mortgage and Mezzanine
Loan Term: 2 to 10+ years
Loan to Value / Loan to Cost: Up to 75% LTV/LTC
DSCR Requirements: Existing DSCR’s below 1.0x are acceptable
Interest Rates / Coupons: Competitive market rates
Loan Fees: Typically 1.00% of the loan amount
Amortization: Interest Only</t>
  </si>
  <si>
    <t>US and Mexico</t>
  </si>
  <si>
    <t>Term 3 to 5 if variable rate, 3 to 10 if fixed rate. Amort up to 30 yrs with I/O period, LTV up to 55%, ticket size us$20M to us$70M. Same criteria for US and Mexico. Current portfolio size in Mexico is $3.2Bn.</t>
  </si>
  <si>
    <t xml:space="preserve">They finance CRE in New York and surrounding areas, specifically office properties in Manhattan.They do Real Estate Construction and Real Estate Mezzanine
</t>
  </si>
  <si>
    <t>USA</t>
  </si>
  <si>
    <t>Loan value Range: $500k-$5M, Estimated Loan Book Size: $10,000,000.00, Diligence (low 1-5 high)*: ?</t>
  </si>
  <si>
    <t>Vienna, Austria</t>
  </si>
  <si>
    <t>loan area: Global. loan value range: $1MM - $50MM. estimated book size: $1.5B. comment: Will do Eastern Europe</t>
  </si>
  <si>
    <t>Conservative in Manhattan with recourse and lower LTV (60–65%). Typical loans $2M–$15M; occasionally $20M+ for strong clients.</t>
  </si>
  <si>
    <t>Services: Offers construction loans with interest rates starting at 9.75%, covering up to 90% of the project cost.                                                                             Requirements: Minimum FICO score of 650.                                                                 Website: https://newsilver.com/ground-up/construction-loans-new-york/</t>
  </si>
  <si>
    <t>Asset-Based Lending (ABL), Factoring, Purchase Order Financing, Working Capital Loans</t>
  </si>
  <si>
    <t>Phoenix, AZ, USA</t>
  </si>
  <si>
    <t>Financing for VC companies that need liquidity. 17% rate. Willing to finance LP positions. Ticket size $2 to $10 million</t>
  </si>
  <si>
    <t>real estate lender for CRE, minimum loan size $20M, non-recourse guarantor has to be in US and will require 100% of Loan Amount of NW and 10% of Loan as liquidity, rate: 200 to 300 over SoFR, can do fixed and floating, floating typically 3+1+1 term, can do value add and owner occupied. If loan is big above 100 million they can get more creative and more flexibility.</t>
  </si>
  <si>
    <t>Salem, MA</t>
  </si>
  <si>
    <t>loan area: US. loan value range: $50K - $5MM. estimated book size: $1B. comment: Large player in small aircraft lending; also does white label lending</t>
  </si>
  <si>
    <t>Columbus, OH</t>
  </si>
  <si>
    <t>loan area: US. loan value range: $50K - $1MM. estimated book size: $500MM. comment: National lender and a leader insmall aircraft finance</t>
  </si>
  <si>
    <t xml:space="preserve">Mezzanine </t>
  </si>
  <si>
    <t>Growth equity, 5–8 year horizon, flexible structures</t>
  </si>
  <si>
    <t>Atlanta, GA</t>
  </si>
  <si>
    <t>Atlanta, GA, USA</t>
  </si>
  <si>
    <t>loan area: Worldwide. loan value range: $5M - $50MM. estimated book size: $100MM. comment: Founded by former headed of AF at Guggenheim</t>
  </si>
  <si>
    <t>Loan value Range: Not active - defaults, Estimated Loan Book Size: $50,000,000.00, Diligence (low 1-5 high)*: 3</t>
  </si>
  <si>
    <t>Paris, France</t>
  </si>
  <si>
    <t>loan area: Global. loan value range: $5MM - $100MM. estimated book size: $1B. comment: Private bank deals only</t>
  </si>
  <si>
    <t>South River has built a business: they create pools of 5 loans.</t>
  </si>
  <si>
    <t>Strong in construction and small CRE in NY metro</t>
  </si>
  <si>
    <t>Loan value Range: $100k-$5M, Estimated Loan Book Size: $30,000,000.00, Diligence (low 1-5 high)*: 4</t>
  </si>
  <si>
    <t>Equity (VC/PE), Mezzanine</t>
  </si>
  <si>
    <t>Real estate investment management; terms depend on fund structure</t>
  </si>
  <si>
    <t>For real estate deals. Pricing is around 6.75%, for non recourse they like DSCR above 1.55x, else recourse loans. They like having deposits on top of the operating accounts to have the deal approved.</t>
  </si>
  <si>
    <t>Whichita, KS</t>
  </si>
  <si>
    <t>loan area: Global. loan value range: $1MM - $30MM. estimated book size: $1B. comment: Captive lender for Cessna, Beechcraft and Bell</t>
  </si>
  <si>
    <t>Loan value Range: $100k-1M, Estimated Loan Book Size: $50,000,000.00, Diligence (low 1-5 high)*: 5</t>
  </si>
  <si>
    <t>Loan value Range: Not active - defaults, Estimated Loan Book Size: $20,000,000.00, Diligence (low 1-5 high)*: 3</t>
  </si>
  <si>
    <t>Zeist, Netherlands</t>
  </si>
  <si>
    <t>Impact loans, fixed/low rates, ethical finance</t>
  </si>
  <si>
    <t>Amsterdam, Netherlands</t>
  </si>
  <si>
    <t>Impact finance, flexible terms, emerging markets</t>
  </si>
  <si>
    <t>Los Ángeles, NY, Las Vegas.</t>
  </si>
  <si>
    <t>Los Ángeles</t>
  </si>
  <si>
    <t>loan area: Global. loan value range: $5MM - $100MM. estimated book size: $5B. comment: Does more than private bank deals, as group is in leasing company</t>
  </si>
  <si>
    <t>Worcestor, MA</t>
  </si>
  <si>
    <t>Sutton, MA</t>
  </si>
  <si>
    <t>loan area: US. loan value range: $50K - $5MM. estimated book size: $300MM. comment: Small regional bank in Eastern/Central MA</t>
  </si>
  <si>
    <t>CRE active in CT/NY</t>
  </si>
  <si>
    <t>North Carolina, USA</t>
  </si>
  <si>
    <t>loan area: US. loan value range: $50K - $5MM. estimated book size: $400MM. comment: Small regional bank in Eastern NC</t>
  </si>
  <si>
    <t>Private Debt / Mezzanine</t>
  </si>
  <si>
    <t>M&amp;A and growth finance, variable terms</t>
  </si>
  <si>
    <t>C&amp;I lending (equipment/working capital via Commercial &amp; Industrial)</t>
  </si>
  <si>
    <t>Loan value range: $3MM–$25MM | Estimated book size: ~$2B | Rate types: Fixed &amp; Variable | Comment: Private bank deals only, HNW clients focused.</t>
  </si>
  <si>
    <t>Class A assets</t>
  </si>
  <si>
    <t>Corporate Private Credit (direct lending), senior secured, colateral and covenants.</t>
  </si>
  <si>
    <t>They do primarily LBOs in any industry</t>
  </si>
  <si>
    <t>Acquisition &amp; Development (A&amp;D), CRE term loans/lines.</t>
  </si>
  <si>
    <t>Florida Based</t>
  </si>
  <si>
    <t>Investment property loans (retail mortgage programs)</t>
  </si>
  <si>
    <t>Experienced with financing for acquisition, recapitalization and development of commercial properties</t>
  </si>
  <si>
    <t>Bridge loans for CRE</t>
  </si>
  <si>
    <t>Aventura, FL, USA</t>
  </si>
  <si>
    <t>Interest Rate: As low as Prime + 250 bps | Loan Term: 6 - 24 months + Extensions | Amortization: Interest Only | Security: First Mortgage Lien or Deed of Trust | Loan-to-Value/Loan-to-Cost: Up to 70% of Current Value | Origination/Exit Fee: 1 - 4% | Minimum Yield: 6 - 12 months</t>
  </si>
  <si>
    <t>Minneapolis, MN</t>
  </si>
  <si>
    <t xml:space="preserve">loan area:NAM. loan value range:$2MM - $ 75MM. estimated book size: $5B. </t>
  </si>
  <si>
    <t xml:space="preserve">1.25x DSCR on commercial, specialty assets 1.35x and 55% LTV </t>
  </si>
  <si>
    <t>NY, San Francisco</t>
  </si>
  <si>
    <t>Private Credit / Mezzanine / Distressed Debt / Special Situations</t>
  </si>
  <si>
    <t>Opportunistic PE, 5–7 year cycles, co-investment</t>
  </si>
  <si>
    <t>CRE loans / Bridge financing</t>
  </si>
  <si>
    <t>Bridge loans, Construction loans, Freddie Mac SBL, Affordable multifamily, Note-on-Note</t>
  </si>
  <si>
    <t>Utah</t>
  </si>
  <si>
    <t>Lehi, Utah, United States</t>
  </si>
  <si>
    <t xml:space="preserve">Private Equity                                                                                                Size: $1-$100M.                                                                                                                                                                                                                                  Terms: control equity positions                                                                                  </t>
  </si>
  <si>
    <t>Real estate development and investment; terms vary</t>
  </si>
  <si>
    <t>x</t>
  </si>
  <si>
    <t>Commercial Real Estate Loans, Construction Loans, Bridge Loans</t>
  </si>
  <si>
    <t>Stuart, FL, USA</t>
  </si>
  <si>
    <t>Commercial &amp; Industrial loans / Lines of Credit</t>
  </si>
  <si>
    <t>CRE mainly in NJ</t>
  </si>
  <si>
    <t>Flexible long-term capital to SMEs in Global EM</t>
  </si>
  <si>
    <t>Private debt, fixed income style, ~10% return</t>
  </si>
  <si>
    <t>SBA lending (Preferred Lender), Equipment Financing</t>
  </si>
  <si>
    <t>Frisco, Texas</t>
  </si>
  <si>
    <t>Bridge loans, Construction loans, Acquisition loans, Mezzanine.</t>
  </si>
  <si>
    <t>Services: Provides construction loans tailored for ground-up developments and renovations, with quick closings and flexible terms.                                                                  Specialization: Focuses on projects in New York City, offering expertise as both lenders and developers.                                                                                                                    Website: https://www.uscnyc.com/construction-loans</t>
  </si>
  <si>
    <t>NJ, NY</t>
  </si>
  <si>
    <t>NJ</t>
  </si>
  <si>
    <t xml:space="preserve">They finance CRE in New York and surrounding areas, not office .
</t>
  </si>
  <si>
    <t>Equipment Finance, Securities-Based Lending</t>
  </si>
  <si>
    <t>Provides CRE financing in NY</t>
  </si>
  <si>
    <t>Commercial banking + Equipment Financing</t>
  </si>
  <si>
    <t>Lake Oswego, OR, USA</t>
  </si>
  <si>
    <t>Capital Call LOC- Reviewing CCL – strong LP base, enough uncalled capital. Targeting 85% advance rate, subject to eligibility. VC rules apply – 15% cap, 120-day term.
Management Co LOC: Considering LOC for upcoming mgmt fee needs + office capex. Up to 50% advance on 12mo fees.
GP Loan: GP financing to support partner commitments.Up to 75% of contribution, Prime-based.
NAV LOC: Exploring NAV LOC for Fund II – meets asset diversification reqs. Up to 65% NAV, 36-month term.</t>
  </si>
  <si>
    <t>Mezzanine / Private Debt — tickets típicos MXN $70–300MM; empresas con ventas ≥ MXN $70MM y utilidades positivas.</t>
  </si>
  <si>
    <t>San Pedro Garza García, N.L.</t>
  </si>
  <si>
    <t>Local M&amp;A/advisory terms, flexible rates</t>
  </si>
  <si>
    <t>Bridge Loans, Fix &amp; Flip, Rental Property Loans</t>
  </si>
  <si>
    <t>Minimum Loan Amount: $200,000
LTV: 65%
Term: 12 Months - IO
Borrower FICO Score: Not Required
Appraisals: AS-IS Value
Prepayment Penalty: None
Bank Statements / Tax Returns: Not Required
Closing Time: 7-14 Business Days</t>
  </si>
  <si>
    <t>Private credit, ~10–12% interest, short-mid term</t>
  </si>
  <si>
    <t>Institutional investments; terms vary based on investment strategy</t>
  </si>
  <si>
    <t>Players/sports financing, mainly baseball and basketball.</t>
  </si>
  <si>
    <t>Strong CRE portfolio in the Northeast</t>
  </si>
  <si>
    <t>CA, AZ</t>
  </si>
  <si>
    <t>Private credit investments; flexible terms</t>
  </si>
  <si>
    <t>Loan value Range: $1-50M, Estimated Loan Book Size: $300,000,000.00, Diligence: 5</t>
  </si>
  <si>
    <t>US, Canadá and Western Europe</t>
  </si>
  <si>
    <t>Stamford, Connecticut</t>
  </si>
  <si>
    <t>NAV: 10 to 20% LTV. Ticket: $10 to $100M, SOFR+600+</t>
  </si>
  <si>
    <t>NAV &amp; Preferred Equity Financing</t>
  </si>
  <si>
    <t>US, Europe</t>
  </si>
  <si>
    <t>Madrid</t>
  </si>
  <si>
    <t>GP Financing to middle market Sponsor.</t>
  </si>
  <si>
    <t>Defense &amp; Government Services (not construction)</t>
  </si>
  <si>
    <t>Virginia</t>
  </si>
  <si>
    <t>Government Contract / Commercial &amp; Personal Banking / Lending &amp; Deposit Services</t>
  </si>
  <si>
    <t>Arlington</t>
  </si>
  <si>
    <t>Commercial &amp; Retail Banking / Lending &amp; Financial Services</t>
  </si>
  <si>
    <t>Irvine, CA</t>
  </si>
  <si>
    <t>Digital asset trading / lending / investment services</t>
  </si>
  <si>
    <t>Emerging Market Lender very active in Latam - Contact Daniel Sensel daniel.sensel@emso.com- Cash Flow lender for mid to large-cap companies, also Asset Backed Lending.</t>
  </si>
  <si>
    <t>BJ is a common contact // Private debt against upper-upscale and luxury full-service hotels</t>
  </si>
  <si>
    <t>US, Europe, Asia,Australia, Africa, Middle East</t>
  </si>
  <si>
    <t>Just raised a fund to lend against secondaries LP &amp; GP positions</t>
  </si>
  <si>
    <t>Government Contract Finance / Private Credit Solutions</t>
  </si>
  <si>
    <t>Like tech driven government contract lending</t>
  </si>
  <si>
    <t>US, London, Dublin,Southampton</t>
  </si>
  <si>
    <t>Strong experience with federal receivables + asset-backed acquisition financing</t>
  </si>
  <si>
    <t>Commercial &amp; Personal Banking / Lending</t>
  </si>
  <si>
    <t>Arlington, Virginia</t>
  </si>
  <si>
    <t>Known for contract-backed lending; especially if agencies are DoD/FEMA/USFS</t>
  </si>
  <si>
    <t>Invoice Factoring &amp; Working Capital Financing</t>
  </si>
  <si>
    <t xml:space="preserve"> Birmingham, AL</t>
  </si>
  <si>
    <t>ABL + factoring </t>
  </si>
  <si>
    <t>Virginia, Maryland, Delaware, West Virginia and Kentucky</t>
  </si>
  <si>
    <t>Harrisonburg, Virginia</t>
  </si>
  <si>
    <t>Offers asset-based lending, lines of credit, equipment financing, M&amp;A financing, and other credit solutions tailored to government contractors and asset-heavy firms.</t>
  </si>
  <si>
    <t>Charles Town, Virginia</t>
  </si>
  <si>
    <t>Provides customized financing products for government contractors — working capital, M&amp;A financing, SBA-backed loans,</t>
  </si>
  <si>
    <t xml:space="preserve">Maritime Lending </t>
  </si>
  <si>
    <t>Greenwich, Connecticut</t>
  </si>
  <si>
    <t>Maritime Lending</t>
  </si>
  <si>
    <t>Oslo, Norway</t>
  </si>
  <si>
    <t>Shipping Finance</t>
  </si>
  <si>
    <t>Sydney, Australia</t>
  </si>
  <si>
    <t>Atlanta, Los Angeles, New York, Toronto and London</t>
  </si>
  <si>
    <t xml:space="preserve">Direct-lending, specialized on lending to private equity owned companies. Can do revolvers, term loans, 2nd liens and equity tags, they also do Liquid Credit, on the liquid credit it might be a good fit for XPI EM Bonds. </t>
  </si>
  <si>
    <t>Salt Lake City, Utah</t>
  </si>
  <si>
    <t>Real estate financing for multifamily/residential, industrial and other commercial properties nationally with a strong focus in Mountain West &amp; Sunbelt for acquisition, bridge and construction. Can do senior, mezzanine and prefered equity. Ticket size $2M to $80M.</t>
  </si>
  <si>
    <t>Banking &amp; Lending Services</t>
  </si>
  <si>
    <t>Asset-based lending platform</t>
  </si>
  <si>
    <t>Chicago, Illinois</t>
  </si>
  <si>
    <t>Independent platform specialized in Asset-Based Lending (ABL).</t>
  </si>
  <si>
    <t>Commercial &amp; SBA Lending</t>
  </si>
  <si>
    <t>Wilmington, North Carolina, US</t>
  </si>
  <si>
    <t>Bank specialized in lending to small and mid-sized businesses in the U.S.
They have highly specialized industry divisions, including Government Contracting, SBA loans, and financing for companies working with federal contracts.</t>
  </si>
  <si>
    <t xml:space="preserve">Domestic </t>
  </si>
  <si>
    <t>Referral by Baruch Litwin (BJ)</t>
  </si>
  <si>
    <t>Boston, Massachusetts</t>
  </si>
  <si>
    <t>Boston</t>
  </si>
  <si>
    <t>Their focus is on tech and venture-backed companies, as well as traditional financial solutions, rather than asset-secured loans or financing backed by government contracts.</t>
  </si>
  <si>
    <t>Receivables &amp; Government Contract Financing</t>
  </si>
  <si>
    <t>Herndon, VA</t>
  </si>
  <si>
    <t xml:space="preserve">Firm exclusively specialized in financing for U.S. federal government contractors. They offer working capital solutions, factoring, lines of credit, and tailored structures for companies with government contracts (GovCon). </t>
  </si>
  <si>
    <t>Direct Lending &amp; Credit Solutions</t>
  </si>
  <si>
    <t>BDC providing financing to middle-market companies in the U.S. They offer senior debt, unitranche, mezzanine, and structures for acquisitions, growth, or recapitalizations. Not an Asset-Based Lending lender; it may only be a fit if structured financing is sought for growth, M&amp;A, or recapitalization of a company with strong cash flow (non-ABL).</t>
  </si>
  <si>
    <t>Commercial &amp; Consumer Banking / Capital Markets / Advisory</t>
  </si>
  <si>
    <t>Pittsburgh, Pennsylvania, US</t>
  </si>
  <si>
    <t>Corporate finance division of F.N.B., focused on mezzanine debt, subordinated debt, and growth capital for middle-market companies, including acquisitions and recapitalizations.</t>
  </si>
  <si>
    <t>Direct Lending / Bridge / Mezzanine / Preferred Equity / CPACE / Structured Credit</t>
  </si>
  <si>
    <t>Atlanta, Gerogia</t>
  </si>
  <si>
    <t>Cairo, Egypt</t>
  </si>
  <si>
    <t>Anglophone West Africa</t>
  </si>
  <si>
    <t>Johannesburg, South Africa</t>
  </si>
  <si>
    <t>Seattle, Washington</t>
  </si>
  <si>
    <t>Private Credit / Direct Lending</t>
  </si>
  <si>
    <t>West Palm Beach, FL</t>
  </si>
  <si>
    <t>Richmond (Glen Allen), Virginia</t>
  </si>
  <si>
    <t>Clayton, Missouri, US</t>
  </si>
  <si>
    <t>Birmingham, Alabama</t>
  </si>
  <si>
    <t>Monroe, Luisiana</t>
  </si>
  <si>
    <t>Cincinnati</t>
  </si>
  <si>
    <t>Gov Contract Financing / Working Capital Lines</t>
  </si>
  <si>
    <t>ABL</t>
  </si>
  <si>
    <t>Northbrook, Illinois</t>
  </si>
  <si>
    <t>Bethesda, Maryland</t>
  </si>
  <si>
    <t>Private Equity / Growth Capital / Buyouts</t>
  </si>
  <si>
    <t>Coral Gables,Florida</t>
  </si>
  <si>
    <t>Coral Gables, FL</t>
  </si>
  <si>
    <t>Direct Lending / Structured Capital</t>
  </si>
  <si>
    <t>Structured Debt + Equity / Growth Capital</t>
  </si>
  <si>
    <t>Atlanta, Georgia</t>
  </si>
  <si>
    <t>Equipment, CapEx, Technology, Project Finance</t>
  </si>
  <si>
    <t>Westminster, California</t>
  </si>
  <si>
    <t>Public‑private C‑PACE financing</t>
  </si>
  <si>
    <t>Hotel construction lender, Mortgages, pensions, insurance, auto loans</t>
  </si>
  <si>
    <t>Colorado</t>
  </si>
  <si>
    <t>Canon City, Colorado</t>
  </si>
  <si>
    <t>Self-storage</t>
  </si>
  <si>
    <t>They can also finance Art, PE, Private Jets, Second Homes, Publicly Traded stocks</t>
  </si>
  <si>
    <t>Boston, MA</t>
  </si>
  <si>
    <t>The Hague, NY</t>
  </si>
  <si>
    <t>Colombia</t>
  </si>
  <si>
    <t>Bogota</t>
  </si>
  <si>
    <t>UK</t>
  </si>
  <si>
    <t>Greenwich, CT, USA</t>
  </si>
  <si>
    <t>Domestic (US)</t>
  </si>
  <si>
    <t>California, USA</t>
  </si>
  <si>
    <t>Switzerland</t>
  </si>
  <si>
    <t>Sweden</t>
  </si>
  <si>
    <t>Stockholm, Sweden</t>
  </si>
  <si>
    <t>São Paulo</t>
  </si>
  <si>
    <t>Palm Beach, FL, USA</t>
  </si>
  <si>
    <t>Family Office</t>
  </si>
  <si>
    <t>Arranger</t>
  </si>
  <si>
    <t>Berlin</t>
  </si>
  <si>
    <t>Ciudad de Mexico</t>
  </si>
  <si>
    <t>equipment finance, insurance-based lending, middle market soluciona &amp; securities-based lending</t>
  </si>
  <si>
    <t>Pittsburg, PA</t>
  </si>
  <si>
    <t>Project Finance, Small Business Lending, Tax Credit Investments</t>
  </si>
  <si>
    <t>Lead Source</t>
  </si>
  <si>
    <t>Pipeline Status</t>
  </si>
  <si>
    <t>Client Name</t>
  </si>
  <si>
    <t>WBC Sub-Product</t>
  </si>
  <si>
    <t>Deal Stage</t>
  </si>
  <si>
    <t>Prob (linked)</t>
  </si>
  <si>
    <t>Probability</t>
  </si>
  <si>
    <t>Lead RM</t>
  </si>
  <si>
    <t>Deal Team</t>
  </si>
  <si>
    <t>Deal Size (AuMs)</t>
  </si>
  <si>
    <t>Total Est. Revenue</t>
  </si>
  <si>
    <t>Est. Close Date</t>
  </si>
  <si>
    <t>Physical Location</t>
  </si>
  <si>
    <t>Client Type</t>
  </si>
  <si>
    <t>Company Name</t>
  </si>
  <si>
    <t>Sector</t>
  </si>
  <si>
    <t>Closed - Won</t>
  </si>
  <si>
    <t>Vertix</t>
  </si>
  <si>
    <t>KS</t>
  </si>
  <si>
    <t>Q3 2025</t>
  </si>
  <si>
    <t>TC</t>
  </si>
  <si>
    <t>Q4 2025</t>
  </si>
  <si>
    <t>SFO</t>
  </si>
  <si>
    <t>RH</t>
  </si>
  <si>
    <t>Partner Referral - Panghea</t>
  </si>
  <si>
    <t>Credit Advisory</t>
  </si>
  <si>
    <t xml:space="preserve">Aircraft Financing </t>
  </si>
  <si>
    <t>8. Closed</t>
  </si>
  <si>
    <t>FV</t>
  </si>
  <si>
    <t>Kathia, Regina</t>
  </si>
  <si>
    <t>Argentina</t>
  </si>
  <si>
    <t>On Hold</t>
  </si>
  <si>
    <t>1. Lead / Intake</t>
  </si>
  <si>
    <t>Q1 2026</t>
  </si>
  <si>
    <t>Closed - Mandate</t>
  </si>
  <si>
    <t>Closed - Lost</t>
  </si>
  <si>
    <t xml:space="preserve">Art Financing </t>
  </si>
  <si>
    <t>6. Term Sheets &amp; Negotiation</t>
  </si>
  <si>
    <t>Mty</t>
  </si>
  <si>
    <t>Direct</t>
  </si>
  <si>
    <t>LP</t>
  </si>
  <si>
    <t>5. Diligence &amp; Financing Memo</t>
  </si>
  <si>
    <t>Active</t>
  </si>
  <si>
    <t>2. Discovery &amp; NDA</t>
  </si>
  <si>
    <t>Bahamas</t>
  </si>
  <si>
    <t>Other Financing</t>
  </si>
  <si>
    <t>4. Market Sounding &amp; Client Engagement</t>
  </si>
  <si>
    <t>Coronado West</t>
  </si>
  <si>
    <t>Entity</t>
  </si>
  <si>
    <t>Land Banking Real Estate</t>
  </si>
  <si>
    <t>Robert Muruli</t>
  </si>
  <si>
    <t>Q12026</t>
  </si>
  <si>
    <t>3. Preliminary Analysis (Two Pager)</t>
  </si>
  <si>
    <t>Q2 2026</t>
  </si>
  <si>
    <t>2. Internal Conviction &amp; Approval</t>
  </si>
  <si>
    <t>Sports Financing</t>
  </si>
  <si>
    <t>Regina
Laura</t>
  </si>
  <si>
    <t>Art Platform</t>
  </si>
  <si>
    <t>Insurance Premium Financing</t>
  </si>
  <si>
    <t>GP</t>
  </si>
  <si>
    <t>Partner Referral - Cetera</t>
  </si>
  <si>
    <t>Firm</t>
  </si>
  <si>
    <t>Yacht Financing</t>
  </si>
  <si>
    <t>Q</t>
  </si>
  <si>
    <t>Robert</t>
  </si>
  <si>
    <t>Contact Phone</t>
  </si>
  <si>
    <t>RMs</t>
  </si>
  <si>
    <t xml:space="preserve">Lead Source </t>
  </si>
  <si>
    <t>Self-Sourced</t>
  </si>
  <si>
    <t>Closed - Mandated</t>
  </si>
  <si>
    <t>Client Referral</t>
  </si>
  <si>
    <t>Non-Partner Referral</t>
  </si>
  <si>
    <t>7. Term sheet Signed &amp; Closing</t>
  </si>
  <si>
    <t xml:space="preserve">Credit Advisory Sub-Services </t>
  </si>
  <si>
    <t>NAV</t>
  </si>
  <si>
    <t>Management Company</t>
  </si>
  <si>
    <t>SCF</t>
  </si>
  <si>
    <t>WBC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</si>
</sst>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u/>
      <sz val="12"/>
      <color rgb="FF0462C2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sz val="12"/>
      <color rgb="FF000000"/>
      <name val="Aptos Narrow"/>
      <family val="2"/>
    </font>
    <font>
      <sz val="12"/>
      <color rgb="FF00000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4" fillId="0" borderId="3" xfId="3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4" fillId="0" borderId="3" xfId="3" applyFill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3" xfId="3" applyFill="1" applyBorder="1" applyAlignment="1">
      <alignment vertical="center"/>
    </xf>
    <xf numFmtId="0" fontId="8" fillId="0" borderId="3" xfId="3" applyFont="1" applyFill="1" applyBorder="1" applyAlignment="1">
      <alignment vertical="center"/>
    </xf>
    <xf numFmtId="0" fontId="4" fillId="0" borderId="3" xfId="3" applyBorder="1" applyAlignment="1">
      <alignment vertical="center" wrapText="1"/>
    </xf>
    <xf numFmtId="0" fontId="4" fillId="0" borderId="3" xfId="3" quotePrefix="1" applyFill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0" fontId="4" fillId="0" borderId="0" xfId="3" applyFill="1" applyBorder="1" applyAlignment="1">
      <alignment vertical="center" wrapText="1"/>
    </xf>
    <xf numFmtId="0" fontId="0" fillId="0" borderId="3" xfId="0" quotePrefix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1" fillId="0" borderId="0" xfId="0" applyFont="1" applyAlignment="1">
      <alignment vertical="center" wrapText="1"/>
    </xf>
    <xf numFmtId="0" fontId="0" fillId="4" borderId="3" xfId="0" applyFill="1" applyBorder="1" applyAlignment="1">
      <alignment vertical="center"/>
    </xf>
    <xf numFmtId="0" fontId="6" fillId="4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4" fillId="4" borderId="3" xfId="3" applyFill="1" applyBorder="1" applyAlignment="1">
      <alignment vertical="center"/>
    </xf>
    <xf numFmtId="0" fontId="0" fillId="4" borderId="3" xfId="0" applyFill="1" applyBorder="1" applyAlignment="1">
      <alignment vertical="center" wrapText="1"/>
    </xf>
    <xf numFmtId="0" fontId="0" fillId="4" borderId="0" xfId="0" applyFill="1" applyAlignment="1">
      <alignment vertical="center"/>
    </xf>
    <xf numFmtId="0" fontId="7" fillId="4" borderId="3" xfId="0" applyFont="1" applyFill="1" applyBorder="1" applyAlignment="1">
      <alignment vertical="center"/>
    </xf>
    <xf numFmtId="0" fontId="4" fillId="4" borderId="3" xfId="3" applyFill="1" applyBorder="1" applyAlignment="1">
      <alignment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" fillId="0" borderId="3" xfId="3" applyFont="1" applyFill="1" applyBorder="1" applyAlignment="1">
      <alignment vertical="center"/>
    </xf>
    <xf numFmtId="0" fontId="4" fillId="0" borderId="0" xfId="3" quotePrefix="1"/>
    <xf numFmtId="0" fontId="4" fillId="0" borderId="0" xfId="3"/>
    <xf numFmtId="0" fontId="0" fillId="0" borderId="0" xfId="0" applyAlignment="1">
      <alignment wrapText="1"/>
    </xf>
    <xf numFmtId="0" fontId="6" fillId="3" borderId="0" xfId="0" applyFont="1" applyFill="1" applyAlignment="1">
      <alignment horizontal="center" vertical="center"/>
    </xf>
    <xf numFmtId="0" fontId="1" fillId="0" borderId="3" xfId="3" applyFon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0" fontId="12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left" vertical="center" wrapText="1"/>
    </xf>
    <xf numFmtId="0" fontId="4" fillId="0" borderId="7" xfId="3" applyBorder="1" applyAlignment="1">
      <alignment horizontal="left" vertical="center" wrapText="1"/>
    </xf>
    <xf numFmtId="0" fontId="6" fillId="0" borderId="3" xfId="3" applyFont="1" applyBorder="1" applyAlignment="1">
      <alignment vertical="center" wrapText="1"/>
    </xf>
    <xf numFmtId="0" fontId="8" fillId="0" borderId="3" xfId="3" applyFont="1" applyBorder="1" applyAlignment="1">
      <alignment vertical="center"/>
    </xf>
    <xf numFmtId="0" fontId="4" fillId="0" borderId="3" xfId="3" quotePrefix="1" applyBorder="1" applyAlignment="1">
      <alignment vertical="center"/>
    </xf>
    <xf numFmtId="0" fontId="4" fillId="0" borderId="3" xfId="3" quotePrefix="1" applyBorder="1" applyAlignment="1">
      <alignment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0" fontId="0" fillId="0" borderId="3" xfId="0" applyNumberFormat="1" applyBorder="1" applyAlignment="1">
      <alignment vertical="center"/>
    </xf>
    <xf numFmtId="0" fontId="2" fillId="5" borderId="8" xfId="0" applyFont="1" applyFill="1" applyBorder="1" applyAlignment="1">
      <alignment horizontal="center" vertical="center"/>
    </xf>
    <xf numFmtId="164" fontId="2" fillId="5" borderId="8" xfId="1" applyNumberFormat="1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9" fontId="6" fillId="0" borderId="8" xfId="2" applyFont="1" applyBorder="1" applyAlignment="1">
      <alignment horizontal="center" vertical="center"/>
    </xf>
    <xf numFmtId="9" fontId="6" fillId="0" borderId="8" xfId="2" applyFont="1" applyFill="1" applyBorder="1" applyAlignment="1">
      <alignment horizontal="center" vertical="center"/>
    </xf>
    <xf numFmtId="164" fontId="6" fillId="0" borderId="8" xfId="1" applyNumberFormat="1" applyFont="1" applyFill="1" applyBorder="1" applyAlignment="1">
      <alignment vertical="center"/>
    </xf>
    <xf numFmtId="0" fontId="6" fillId="0" borderId="0" xfId="0" applyFont="1"/>
    <xf numFmtId="0" fontId="6" fillId="7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9" fontId="6" fillId="7" borderId="8" xfId="2" applyFont="1" applyFill="1" applyBorder="1" applyAlignment="1">
      <alignment horizontal="center" vertical="center"/>
    </xf>
    <xf numFmtId="164" fontId="6" fillId="7" borderId="8" xfId="1" applyNumberFormat="1" applyFont="1" applyFill="1" applyBorder="1" applyAlignment="1">
      <alignment vertical="center"/>
    </xf>
    <xf numFmtId="0" fontId="6" fillId="7" borderId="0" xfId="0" applyFont="1" applyFill="1"/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7" fontId="6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164" fontId="6" fillId="0" borderId="8" xfId="1" applyNumberFormat="1" applyFont="1" applyFill="1" applyBorder="1" applyAlignment="1">
      <alignment horizontal="center" vertical="center"/>
    </xf>
    <xf numFmtId="164" fontId="6" fillId="0" borderId="8" xfId="1" applyNumberFormat="1" applyFont="1" applyBorder="1" applyAlignment="1">
      <alignment vertical="center"/>
    </xf>
    <xf numFmtId="164" fontId="0" fillId="0" borderId="0" xfId="1" applyNumberFormat="1" applyFont="1" applyAlignment="1">
      <alignment vertical="center"/>
    </xf>
    <xf numFmtId="0" fontId="0" fillId="0" borderId="0" xfId="0" applyAlignment="1">
      <alignment horizontal="left" vertical="center"/>
    </xf>
    <xf numFmtId="0" fontId="2" fillId="5" borderId="1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1" xfId="4" applyFont="1" applyBorder="1" applyAlignment="1">
      <alignment vertical="center"/>
    </xf>
    <xf numFmtId="9" fontId="0" fillId="0" borderId="0" xfId="5" applyFont="1" applyAlignment="1">
      <alignment horizontal="center" vertical="center"/>
    </xf>
    <xf numFmtId="9" fontId="0" fillId="0" borderId="11" xfId="5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3" fillId="0" borderId="11" xfId="0" applyFont="1" applyBorder="1"/>
  </cellXfs>
  <cellStyles count="6">
    <cellStyle name="Comma" xfId="1" builtinId="3"/>
    <cellStyle name="Hyperlink" xfId="3" builtinId="8"/>
    <cellStyle name="Normal" xfId="0" builtinId="0"/>
    <cellStyle name="Normal 2" xfId="4" xr:uid="{0D98C16D-78B4-0F4A-9AE2-AE1FF140B834}"/>
    <cellStyle name="Percent" xfId="2" builtinId="5"/>
    <cellStyle name="Percent 2" xfId="5" xr:uid="{60BF77C7-81CB-7147-A9FB-C963332E6E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hitebridgecap.sharepoint.com/sites/WBCDATA/Shared%20Documents/Confidential%20Data/2.%20Pipeline/Pipeline/20260216-Pipeline%20Tracker%20(Beta).xlsx" TargetMode="External"/><Relationship Id="rId1" Type="http://schemas.openxmlformats.org/officeDocument/2006/relationships/externalLinkPath" Target="https://whitebridgecap.sharepoint.com/sites/WBCDATA/Shared%20Documents/Confidential%20Data/2.%20Pipeline/Pipeline/20260216-Pipeline%20Tracker%20(Bet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BC Other pipelines"/>
      <sheetName val="WBC Credit Advisory Pipeline"/>
      <sheetName val="NBA"/>
      <sheetName val="Sheet3"/>
      <sheetName val="WBC Services"/>
      <sheetName val="Dropdowns"/>
      <sheetName val="Fields"/>
      <sheetName val="Contacts (Clients)"/>
      <sheetName val="Companies (Clients)"/>
      <sheetName val="WBC Services (2)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1. Lead / Intake</v>
          </cell>
          <cell r="C2">
            <v>0.1</v>
          </cell>
        </row>
        <row r="3">
          <cell r="A3" t="str">
            <v>2. Discovery &amp; NDA</v>
          </cell>
          <cell r="C3">
            <v>0.15</v>
          </cell>
        </row>
        <row r="4">
          <cell r="A4" t="str">
            <v>3. Preliminary Analysis (Two Pager)</v>
          </cell>
          <cell r="C4">
            <v>0.25</v>
          </cell>
        </row>
        <row r="5">
          <cell r="A5" t="str">
            <v>4. Market Sounding &amp; Client Engagement</v>
          </cell>
          <cell r="C5">
            <v>0.4</v>
          </cell>
        </row>
        <row r="6">
          <cell r="A6" t="str">
            <v>5. Diligence &amp; Financing Memo</v>
          </cell>
          <cell r="C6">
            <v>0.5</v>
          </cell>
        </row>
        <row r="7">
          <cell r="A7" t="str">
            <v>6. Term Sheets &amp; Negotiation</v>
          </cell>
          <cell r="C7">
            <v>0.6</v>
          </cell>
        </row>
        <row r="8">
          <cell r="A8" t="str">
            <v>7. Term sheet Signed &amp; Closing</v>
          </cell>
          <cell r="C8">
            <v>0.85</v>
          </cell>
        </row>
        <row r="9">
          <cell r="A9" t="str">
            <v>8. Closed</v>
          </cell>
          <cell r="C9">
            <v>1</v>
          </cell>
        </row>
        <row r="37">
          <cell r="A37" t="str">
            <v>1. Manager Evaluation &amp; Intake</v>
          </cell>
          <cell r="C37">
            <v>0.1</v>
          </cell>
        </row>
        <row r="38">
          <cell r="A38" t="str">
            <v>2. Internal Conviction &amp; Approval</v>
          </cell>
          <cell r="C38">
            <v>0.2</v>
          </cell>
        </row>
        <row r="39">
          <cell r="A39" t="str">
            <v>3. Deal Assessment &amp; Diligence</v>
          </cell>
          <cell r="C39">
            <v>0.35</v>
          </cell>
        </row>
        <row r="40">
          <cell r="A40" t="str">
            <v>4. Engagement Letter Issued &amp; Executed</v>
          </cell>
          <cell r="C40">
            <v>0.5</v>
          </cell>
        </row>
        <row r="41">
          <cell r="A41" t="str">
            <v>5. Investor Targeting &amp; Identification</v>
          </cell>
          <cell r="C41">
            <v>0.6</v>
          </cell>
        </row>
        <row r="42">
          <cell r="A42" t="str">
            <v>6. Initial Investor Outreach</v>
          </cell>
          <cell r="C42">
            <v>0.7</v>
          </cell>
        </row>
        <row r="43">
          <cell r="A43" t="str">
            <v>7. Verbal Commitments Secured</v>
          </cell>
          <cell r="C43">
            <v>0.85</v>
          </cell>
        </row>
        <row r="44">
          <cell r="A44" t="str">
            <v>8. Funding Executed</v>
          </cell>
          <cell r="C44">
            <v>0.95</v>
          </cell>
        </row>
        <row r="45">
          <cell r="A45" t="str">
            <v>9. Fundraising Cycle Closed</v>
          </cell>
          <cell r="C45">
            <v>1</v>
          </cell>
        </row>
      </sheetData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43C6A-4A9C-EB47-849B-8070454B63AD}">
  <dimension ref="A1:AS321"/>
  <sheetViews>
    <sheetView showGridLines="0" zoomScale="75" zoomScaleNormal="60" workbookViewId="0">
      <pane xSplit="2" ySplit="2" topLeftCell="AB3" activePane="bottomRight" state="frozen"/>
      <selection pane="topRight" activeCell="E1" sqref="E1"/>
      <selection pane="bottomLeft" activeCell="A2" sqref="A2"/>
      <selection pane="bottomRight" activeCell="AD2" sqref="AD2:AG5"/>
    </sheetView>
  </sheetViews>
  <sheetFormatPr baseColWidth="10" defaultColWidth="11" defaultRowHeight="16" outlineLevelCol="1" x14ac:dyDescent="0.2"/>
  <cols>
    <col min="1" max="1" width="10.5" style="1" customWidth="1"/>
    <col min="2" max="2" width="67" style="1" bestFit="1" customWidth="1"/>
    <col min="3" max="3" width="35.1640625" style="1" hidden="1" customWidth="1" outlineLevel="1"/>
    <col min="4" max="4" width="35.1640625" style="1" customWidth="1" outlineLevel="1"/>
    <col min="5" max="6" width="45.83203125" style="1" customWidth="1"/>
    <col min="7" max="7" width="53.33203125" style="1" customWidth="1"/>
    <col min="8" max="8" width="27.6640625" style="1" customWidth="1"/>
    <col min="9" max="9" width="20.1640625" style="2" bestFit="1" customWidth="1"/>
    <col min="10" max="10" width="24.1640625" style="2" customWidth="1"/>
    <col min="11" max="11" width="21.5" style="2" customWidth="1"/>
    <col min="12" max="20" width="20.1640625" style="2" customWidth="1"/>
    <col min="21" max="21" width="28.5" style="2" bestFit="1" customWidth="1"/>
    <col min="22" max="26" width="20.1640625" style="2" customWidth="1"/>
    <col min="27" max="27" width="32.6640625" style="2" bestFit="1" customWidth="1"/>
    <col min="28" max="28" width="20.1640625" style="2" customWidth="1"/>
    <col min="29" max="29" width="43.1640625" style="2" customWidth="1"/>
    <col min="30" max="31" width="23" style="2" customWidth="1"/>
    <col min="32" max="33" width="20.1640625" style="2" customWidth="1"/>
    <col min="34" max="34" width="25" style="1" customWidth="1"/>
    <col min="35" max="35" width="43.83203125" style="1" customWidth="1"/>
    <col min="36" max="36" width="52.1640625" style="1" customWidth="1"/>
    <col min="37" max="37" width="92.83203125" style="3" customWidth="1"/>
    <col min="38" max="38" width="36" style="1" bestFit="1" customWidth="1"/>
    <col min="39" max="16384" width="11" style="1"/>
  </cols>
  <sheetData>
    <row r="1" spans="1:37" ht="17" thickBot="1" x14ac:dyDescent="0.25">
      <c r="B1" s="1">
        <v>1</v>
      </c>
      <c r="C1" s="1">
        <v>2</v>
      </c>
      <c r="E1" s="1">
        <v>3</v>
      </c>
      <c r="G1" s="1">
        <v>4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1">
        <v>44</v>
      </c>
      <c r="AI1" s="1">
        <v>45</v>
      </c>
      <c r="AJ1" s="1">
        <v>46</v>
      </c>
    </row>
    <row r="2" spans="1:37" s="3" customFormat="1" ht="44" x14ac:dyDescent="0.2">
      <c r="A2" s="4" t="s">
        <v>0</v>
      </c>
      <c r="B2" s="4" t="s">
        <v>1</v>
      </c>
      <c r="C2" s="5" t="s">
        <v>2</v>
      </c>
      <c r="D2" s="5" t="s">
        <v>3</v>
      </c>
      <c r="E2" s="6" t="s">
        <v>4</v>
      </c>
      <c r="F2" s="6" t="s">
        <v>5</v>
      </c>
      <c r="G2" s="6" t="s">
        <v>6</v>
      </c>
      <c r="H2" s="6" t="s">
        <v>550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6" t="s">
        <v>24</v>
      </c>
      <c r="AA2" s="6" t="s">
        <v>25</v>
      </c>
      <c r="AB2" s="6" t="s">
        <v>26</v>
      </c>
      <c r="AC2" s="6" t="s">
        <v>27</v>
      </c>
      <c r="AD2" s="6" t="s">
        <v>28</v>
      </c>
      <c r="AE2" s="6" t="s">
        <v>29</v>
      </c>
      <c r="AF2" s="6" t="s">
        <v>30</v>
      </c>
      <c r="AG2" s="6" t="s">
        <v>31</v>
      </c>
      <c r="AH2" s="6" t="s">
        <v>32</v>
      </c>
      <c r="AI2" s="6" t="s">
        <v>33</v>
      </c>
      <c r="AJ2" s="6" t="s">
        <v>34</v>
      </c>
      <c r="AK2" s="6" t="s">
        <v>35</v>
      </c>
    </row>
    <row r="3" spans="1:37" ht="34" x14ac:dyDescent="0.2">
      <c r="A3" s="7">
        <v>1</v>
      </c>
      <c r="B3" s="8"/>
      <c r="C3" s="8"/>
      <c r="D3" s="8"/>
      <c r="E3" s="8"/>
      <c r="F3" s="8"/>
      <c r="G3" s="9"/>
      <c r="H3" s="8"/>
      <c r="I3" s="10" t="s">
        <v>37</v>
      </c>
      <c r="J3" s="10"/>
      <c r="K3" s="10"/>
      <c r="L3" s="10"/>
      <c r="M3" s="10"/>
      <c r="N3" s="10"/>
      <c r="O3" s="10"/>
      <c r="P3" s="10"/>
      <c r="Q3" s="10"/>
      <c r="R3" s="10"/>
      <c r="S3" s="10" t="s">
        <v>38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8" t="s">
        <v>39</v>
      </c>
      <c r="AI3" s="8" t="s">
        <v>40</v>
      </c>
      <c r="AJ3" s="8" t="s">
        <v>41</v>
      </c>
      <c r="AK3" s="11" t="s">
        <v>42</v>
      </c>
    </row>
    <row r="4" spans="1:37" ht="17" x14ac:dyDescent="0.2">
      <c r="A4" s="12">
        <f>1+A3</f>
        <v>2</v>
      </c>
      <c r="B4" s="13"/>
      <c r="C4" s="13"/>
      <c r="D4" s="8"/>
      <c r="E4" s="13"/>
      <c r="F4" s="13"/>
      <c r="G4" s="14"/>
      <c r="H4" s="8"/>
      <c r="I4" s="10" t="s">
        <v>37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8" t="s">
        <v>43</v>
      </c>
      <c r="AI4" s="8" t="s">
        <v>40</v>
      </c>
      <c r="AJ4" s="8" t="s">
        <v>44</v>
      </c>
      <c r="AK4" s="11" t="s">
        <v>45</v>
      </c>
    </row>
    <row r="5" spans="1:37" ht="51" x14ac:dyDescent="0.2">
      <c r="A5" s="12">
        <f t="shared" ref="A5:A68" si="0">1+A4</f>
        <v>3</v>
      </c>
      <c r="B5" s="8"/>
      <c r="C5" s="13"/>
      <c r="D5" s="8"/>
      <c r="E5" s="11"/>
      <c r="F5" s="11"/>
      <c r="G5" s="11"/>
      <c r="H5" s="8"/>
      <c r="I5" s="7" t="s">
        <v>37</v>
      </c>
      <c r="J5" s="7"/>
      <c r="K5" s="7" t="s">
        <v>38</v>
      </c>
      <c r="L5" s="7"/>
      <c r="M5" s="7" t="s">
        <v>38</v>
      </c>
      <c r="N5" s="7" t="s">
        <v>38</v>
      </c>
      <c r="O5" s="7"/>
      <c r="P5" s="7">
        <v>0</v>
      </c>
      <c r="Q5" s="7">
        <v>0</v>
      </c>
      <c r="R5" s="7" t="s">
        <v>38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 t="s">
        <v>38</v>
      </c>
      <c r="Y5" s="7">
        <v>0</v>
      </c>
      <c r="Z5" s="7" t="s">
        <v>38</v>
      </c>
      <c r="AA5" s="7" t="s">
        <v>38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8" t="s">
        <v>46</v>
      </c>
      <c r="AI5" s="8" t="s">
        <v>47</v>
      </c>
      <c r="AJ5" s="8" t="s">
        <v>48</v>
      </c>
      <c r="AK5" s="11" t="s">
        <v>49</v>
      </c>
    </row>
    <row r="6" spans="1:37" ht="34" x14ac:dyDescent="0.2">
      <c r="A6" s="12">
        <f t="shared" si="0"/>
        <v>4</v>
      </c>
      <c r="B6" s="8"/>
      <c r="C6" s="8"/>
      <c r="D6" s="9"/>
      <c r="E6" s="8"/>
      <c r="F6" s="8"/>
      <c r="G6" s="9"/>
      <c r="H6" s="8"/>
      <c r="I6" s="10" t="s">
        <v>50</v>
      </c>
      <c r="J6" s="10"/>
      <c r="K6" s="10"/>
      <c r="L6" s="10"/>
      <c r="M6" s="10"/>
      <c r="N6" s="10"/>
      <c r="O6" s="10"/>
      <c r="P6" s="10"/>
      <c r="Q6" s="10"/>
      <c r="R6" s="10"/>
      <c r="S6" s="10" t="s">
        <v>38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8" t="s">
        <v>51</v>
      </c>
      <c r="AI6" s="8" t="s">
        <v>40</v>
      </c>
      <c r="AJ6" s="8" t="s">
        <v>52</v>
      </c>
      <c r="AK6" s="11" t="s">
        <v>53</v>
      </c>
    </row>
    <row r="7" spans="1:37" ht="51" x14ac:dyDescent="0.2">
      <c r="A7" s="12">
        <f t="shared" si="0"/>
        <v>5</v>
      </c>
      <c r="B7" s="13"/>
      <c r="C7" s="13"/>
      <c r="D7" s="8"/>
      <c r="E7" s="15"/>
      <c r="F7" s="15"/>
      <c r="G7" s="14"/>
      <c r="H7" s="11"/>
      <c r="I7" s="10" t="s">
        <v>50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 t="s">
        <v>38</v>
      </c>
      <c r="Y7" s="10"/>
      <c r="Z7" s="10"/>
      <c r="AA7" s="10"/>
      <c r="AB7" s="10" t="s">
        <v>38</v>
      </c>
      <c r="AC7" s="16" t="s">
        <v>54</v>
      </c>
      <c r="AD7" s="10" t="s">
        <v>38</v>
      </c>
      <c r="AE7" s="10"/>
      <c r="AF7" s="10"/>
      <c r="AG7" s="10"/>
      <c r="AH7" s="8" t="s">
        <v>55</v>
      </c>
      <c r="AI7" s="8" t="s">
        <v>56</v>
      </c>
      <c r="AJ7" s="8" t="s">
        <v>44</v>
      </c>
      <c r="AK7" s="11" t="s">
        <v>57</v>
      </c>
    </row>
    <row r="8" spans="1:37" x14ac:dyDescent="0.2">
      <c r="A8" s="12">
        <f t="shared" si="0"/>
        <v>6</v>
      </c>
      <c r="B8" s="8"/>
      <c r="C8" s="13"/>
      <c r="D8" s="9"/>
      <c r="E8" s="8"/>
      <c r="F8" s="8"/>
      <c r="G8" s="8"/>
      <c r="H8" s="8"/>
      <c r="I8" s="7" t="s">
        <v>37</v>
      </c>
      <c r="J8" s="7"/>
      <c r="K8" s="7"/>
      <c r="L8" s="7"/>
      <c r="M8" s="7"/>
      <c r="N8" s="7"/>
      <c r="O8" s="7"/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 t="s">
        <v>58</v>
      </c>
      <c r="AD8" s="7">
        <v>0</v>
      </c>
      <c r="AE8" s="7">
        <v>0</v>
      </c>
      <c r="AF8" s="7">
        <v>0</v>
      </c>
      <c r="AG8" s="7">
        <v>0</v>
      </c>
      <c r="AH8" s="8" t="s">
        <v>59</v>
      </c>
      <c r="AI8" s="8" t="s">
        <v>40</v>
      </c>
      <c r="AJ8" s="8" t="s">
        <v>60</v>
      </c>
      <c r="AK8" s="11"/>
    </row>
    <row r="9" spans="1:37" ht="17" x14ac:dyDescent="0.2">
      <c r="A9" s="12">
        <f t="shared" si="0"/>
        <v>7</v>
      </c>
      <c r="B9" s="13"/>
      <c r="C9" s="13"/>
      <c r="D9" s="9"/>
      <c r="E9" s="8"/>
      <c r="F9" s="8"/>
      <c r="G9" s="9"/>
      <c r="H9" s="8"/>
      <c r="I9" s="10" t="s">
        <v>50</v>
      </c>
      <c r="J9" s="7"/>
      <c r="K9" s="7"/>
      <c r="L9" s="7"/>
      <c r="M9" s="7"/>
      <c r="N9" s="7"/>
      <c r="O9" s="7"/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 t="s">
        <v>38</v>
      </c>
      <c r="AA9" s="7" t="s">
        <v>38</v>
      </c>
      <c r="AB9" s="7">
        <v>0</v>
      </c>
      <c r="AC9" s="7" t="s">
        <v>61</v>
      </c>
      <c r="AD9" s="7" t="s">
        <v>38</v>
      </c>
      <c r="AE9" s="7">
        <v>0</v>
      </c>
      <c r="AF9" s="7">
        <v>0</v>
      </c>
      <c r="AG9" s="7">
        <v>0</v>
      </c>
      <c r="AH9" s="8" t="s">
        <v>62</v>
      </c>
      <c r="AI9" s="8" t="s">
        <v>40</v>
      </c>
      <c r="AJ9" s="8" t="s">
        <v>63</v>
      </c>
      <c r="AK9" s="11" t="s">
        <v>64</v>
      </c>
    </row>
    <row r="10" spans="1:37" ht="17" x14ac:dyDescent="0.2">
      <c r="A10" s="12">
        <f t="shared" si="0"/>
        <v>8</v>
      </c>
      <c r="B10" s="8"/>
      <c r="C10" s="8"/>
      <c r="D10" s="8"/>
      <c r="E10" s="11"/>
      <c r="F10" s="11"/>
      <c r="G10" s="9"/>
      <c r="H10" s="8"/>
      <c r="I10" s="10" t="s">
        <v>37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8" t="s">
        <v>65</v>
      </c>
      <c r="AI10" s="8" t="s">
        <v>40</v>
      </c>
      <c r="AJ10" s="8" t="s">
        <v>66</v>
      </c>
      <c r="AK10" s="11" t="s">
        <v>67</v>
      </c>
    </row>
    <row r="11" spans="1:37" ht="34" x14ac:dyDescent="0.2">
      <c r="A11" s="12">
        <f t="shared" si="0"/>
        <v>9</v>
      </c>
      <c r="B11" s="8"/>
      <c r="C11" s="8"/>
      <c r="D11" s="17"/>
      <c r="E11" s="8"/>
      <c r="F11" s="8"/>
      <c r="G11" s="17"/>
      <c r="H11" s="11"/>
      <c r="I11" s="10" t="s">
        <v>68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6" t="s">
        <v>69</v>
      </c>
      <c r="AD11" s="10"/>
      <c r="AE11" s="10"/>
      <c r="AF11" s="10"/>
      <c r="AG11" s="10"/>
      <c r="AH11" s="8" t="s">
        <v>70</v>
      </c>
      <c r="AI11" s="8" t="s">
        <v>40</v>
      </c>
      <c r="AJ11" s="8" t="s">
        <v>71</v>
      </c>
      <c r="AK11" s="11" t="s">
        <v>72</v>
      </c>
    </row>
    <row r="12" spans="1:37" ht="17" x14ac:dyDescent="0.2">
      <c r="A12" s="12">
        <f t="shared" si="0"/>
        <v>10</v>
      </c>
      <c r="B12" s="13"/>
      <c r="C12" s="13"/>
      <c r="D12" s="17"/>
      <c r="E12" s="8"/>
      <c r="F12" s="8"/>
      <c r="G12" s="17"/>
      <c r="H12" s="8"/>
      <c r="I12" s="10" t="s">
        <v>50</v>
      </c>
      <c r="J12" s="7" t="s">
        <v>38</v>
      </c>
      <c r="K12" s="7" t="s">
        <v>38</v>
      </c>
      <c r="L12" s="7"/>
      <c r="M12" s="7" t="s">
        <v>38</v>
      </c>
      <c r="N12" s="7" t="s">
        <v>38</v>
      </c>
      <c r="O12" s="7"/>
      <c r="P12" s="7">
        <v>0</v>
      </c>
      <c r="Q12" s="7">
        <v>0</v>
      </c>
      <c r="R12" s="7" t="s">
        <v>38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 t="s">
        <v>38</v>
      </c>
      <c r="AA12" s="7" t="s">
        <v>38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8" t="s">
        <v>43</v>
      </c>
      <c r="AI12" s="8" t="s">
        <v>40</v>
      </c>
      <c r="AJ12" s="8" t="s">
        <v>44</v>
      </c>
      <c r="AK12" s="11" t="s">
        <v>73</v>
      </c>
    </row>
    <row r="13" spans="1:37" ht="28.5" customHeight="1" x14ac:dyDescent="0.2">
      <c r="A13" s="12">
        <f t="shared" si="0"/>
        <v>11</v>
      </c>
      <c r="B13" s="8"/>
      <c r="C13" s="8"/>
      <c r="D13" s="18"/>
      <c r="E13" s="8"/>
      <c r="F13" s="8"/>
      <c r="G13" s="14"/>
      <c r="H13" s="8"/>
      <c r="I13" s="10" t="s">
        <v>50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 t="s">
        <v>38</v>
      </c>
      <c r="X13" s="10" t="s">
        <v>38</v>
      </c>
      <c r="Y13" s="10"/>
      <c r="Z13" s="10"/>
      <c r="AA13" s="10"/>
      <c r="AB13" s="10"/>
      <c r="AC13" s="16" t="s">
        <v>74</v>
      </c>
      <c r="AD13" s="10"/>
      <c r="AE13" s="10"/>
      <c r="AF13" s="10"/>
      <c r="AG13" s="10"/>
      <c r="AH13" s="8" t="s">
        <v>46</v>
      </c>
      <c r="AI13" s="8" t="s">
        <v>40</v>
      </c>
      <c r="AJ13" s="8" t="s">
        <v>75</v>
      </c>
      <c r="AK13" s="11" t="s">
        <v>76</v>
      </c>
    </row>
    <row r="14" spans="1:37" x14ac:dyDescent="0.2">
      <c r="A14" s="12">
        <f t="shared" si="0"/>
        <v>12</v>
      </c>
      <c r="B14" s="8"/>
      <c r="C14" s="13"/>
      <c r="D14" s="8"/>
      <c r="E14" s="8"/>
      <c r="F14" s="8"/>
      <c r="G14" s="9"/>
      <c r="H14" s="8"/>
      <c r="I14" s="10" t="s">
        <v>50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 t="s">
        <v>38</v>
      </c>
      <c r="AB14" s="10"/>
      <c r="AC14" s="10"/>
      <c r="AD14" s="10"/>
      <c r="AE14" s="10"/>
      <c r="AF14" s="10"/>
      <c r="AG14" s="10"/>
      <c r="AH14" s="8" t="s">
        <v>62</v>
      </c>
      <c r="AI14" s="8" t="s">
        <v>40</v>
      </c>
      <c r="AJ14" s="8" t="s">
        <v>44</v>
      </c>
      <c r="AK14" s="11"/>
    </row>
    <row r="15" spans="1:37" ht="24" customHeight="1" x14ac:dyDescent="0.2">
      <c r="A15" s="12">
        <f t="shared" si="0"/>
        <v>13</v>
      </c>
      <c r="B15" s="8"/>
      <c r="C15" s="8"/>
      <c r="D15" s="8"/>
      <c r="E15" s="8"/>
      <c r="F15" s="8"/>
      <c r="G15" s="9"/>
      <c r="H15" s="11"/>
      <c r="I15" s="10" t="s">
        <v>50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 t="s">
        <v>38</v>
      </c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8" t="s">
        <v>77</v>
      </c>
      <c r="AI15" s="8" t="s">
        <v>40</v>
      </c>
      <c r="AJ15" s="8" t="s">
        <v>75</v>
      </c>
      <c r="AK15" s="11" t="s">
        <v>78</v>
      </c>
    </row>
    <row r="16" spans="1:37" ht="24" customHeight="1" x14ac:dyDescent="0.2">
      <c r="A16" s="12">
        <f t="shared" si="0"/>
        <v>14</v>
      </c>
      <c r="B16" s="8"/>
      <c r="C16" s="8"/>
      <c r="D16" s="8"/>
      <c r="E16" s="8"/>
      <c r="F16" s="8"/>
      <c r="G16" s="11"/>
      <c r="H16" s="8"/>
      <c r="I16" s="10" t="s">
        <v>50</v>
      </c>
      <c r="J16" s="10"/>
      <c r="K16" s="10"/>
      <c r="L16" s="10"/>
      <c r="M16" s="10"/>
      <c r="N16" s="10"/>
      <c r="O16" s="10"/>
      <c r="P16" s="10"/>
      <c r="Q16" s="10"/>
      <c r="R16" s="10"/>
      <c r="S16" s="10" t="s">
        <v>38</v>
      </c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8" t="s">
        <v>79</v>
      </c>
      <c r="AI16" s="8" t="s">
        <v>40</v>
      </c>
      <c r="AJ16" s="8" t="s">
        <v>79</v>
      </c>
      <c r="AK16" s="11" t="s">
        <v>80</v>
      </c>
    </row>
    <row r="17" spans="1:37" ht="34" x14ac:dyDescent="0.2">
      <c r="A17" s="12">
        <f t="shared" si="0"/>
        <v>15</v>
      </c>
      <c r="B17" s="8"/>
      <c r="C17" s="8"/>
      <c r="D17" s="8"/>
      <c r="E17" s="11"/>
      <c r="F17" s="11"/>
      <c r="G17" s="19"/>
      <c r="H17" s="8"/>
      <c r="I17" s="10" t="s">
        <v>50</v>
      </c>
      <c r="J17" s="10"/>
      <c r="K17" s="10"/>
      <c r="L17" s="10"/>
      <c r="M17" s="10"/>
      <c r="N17" s="10"/>
      <c r="O17" s="10"/>
      <c r="P17" s="10"/>
      <c r="Q17" s="10"/>
      <c r="R17" s="10"/>
      <c r="S17" s="10" t="s">
        <v>38</v>
      </c>
      <c r="T17" s="10" t="s">
        <v>38</v>
      </c>
      <c r="U17" s="10"/>
      <c r="V17" s="10" t="s">
        <v>38</v>
      </c>
      <c r="W17" s="10" t="s">
        <v>38</v>
      </c>
      <c r="X17" s="10" t="s">
        <v>38</v>
      </c>
      <c r="Y17" s="10"/>
      <c r="Z17" s="10"/>
      <c r="AA17" s="10"/>
      <c r="AB17" s="10"/>
      <c r="AC17" s="10"/>
      <c r="AD17" s="10"/>
      <c r="AE17" s="10"/>
      <c r="AF17" s="10"/>
      <c r="AG17" s="10"/>
      <c r="AH17" s="8" t="s">
        <v>81</v>
      </c>
      <c r="AI17" s="8" t="s">
        <v>40</v>
      </c>
      <c r="AJ17" s="8" t="s">
        <v>82</v>
      </c>
      <c r="AK17" s="11" t="s">
        <v>83</v>
      </c>
    </row>
    <row r="18" spans="1:37" ht="39.75" customHeight="1" x14ac:dyDescent="0.2">
      <c r="A18" s="12">
        <f t="shared" si="0"/>
        <v>16</v>
      </c>
      <c r="B18" s="8"/>
      <c r="C18" s="13"/>
      <c r="D18" s="8"/>
      <c r="E18" s="8"/>
      <c r="F18" s="8"/>
      <c r="G18" s="8"/>
      <c r="H18" s="8"/>
      <c r="I18" s="7" t="s">
        <v>37</v>
      </c>
      <c r="J18" s="7"/>
      <c r="K18" s="7" t="s">
        <v>38</v>
      </c>
      <c r="L18" s="7"/>
      <c r="M18" s="7" t="s">
        <v>38</v>
      </c>
      <c r="N18" s="7"/>
      <c r="O18" s="7"/>
      <c r="P18" s="7" t="s">
        <v>38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 t="s">
        <v>84</v>
      </c>
      <c r="AD18" s="7" t="s">
        <v>38</v>
      </c>
      <c r="AE18" s="7" t="s">
        <v>38</v>
      </c>
      <c r="AF18" s="7">
        <v>0</v>
      </c>
      <c r="AG18" s="7">
        <v>0</v>
      </c>
      <c r="AH18" s="8" t="s">
        <v>81</v>
      </c>
      <c r="AI18" s="8" t="s">
        <v>40</v>
      </c>
      <c r="AJ18" s="8" t="s">
        <v>82</v>
      </c>
      <c r="AK18" s="11" t="s">
        <v>85</v>
      </c>
    </row>
    <row r="19" spans="1:37" ht="17" x14ac:dyDescent="0.2">
      <c r="A19" s="12">
        <f t="shared" si="0"/>
        <v>17</v>
      </c>
      <c r="B19" s="8"/>
      <c r="C19" s="8"/>
      <c r="D19" s="9"/>
      <c r="E19" s="8"/>
      <c r="F19" s="8"/>
      <c r="G19" s="9"/>
      <c r="H19" s="8"/>
      <c r="I19" s="10" t="s">
        <v>50</v>
      </c>
      <c r="J19" s="10" t="s">
        <v>38</v>
      </c>
      <c r="K19" s="10" t="s">
        <v>38</v>
      </c>
      <c r="L19" s="10"/>
      <c r="M19" s="10"/>
      <c r="N19" s="10"/>
      <c r="O19" s="10"/>
      <c r="P19" s="10"/>
      <c r="Q19" s="10" t="s">
        <v>38</v>
      </c>
      <c r="R19" s="10"/>
      <c r="S19" s="10"/>
      <c r="T19" s="10"/>
      <c r="U19" s="10"/>
      <c r="V19" s="10"/>
      <c r="W19" s="10"/>
      <c r="X19" s="10"/>
      <c r="Y19" s="10"/>
      <c r="Z19" s="10"/>
      <c r="AA19" s="10" t="s">
        <v>38</v>
      </c>
      <c r="AB19" s="10"/>
      <c r="AC19" s="10"/>
      <c r="AD19" s="10" t="s">
        <v>38</v>
      </c>
      <c r="AE19" s="10" t="s">
        <v>38</v>
      </c>
      <c r="AF19" s="10" t="s">
        <v>38</v>
      </c>
      <c r="AG19" s="10"/>
      <c r="AH19" s="8" t="s">
        <v>81</v>
      </c>
      <c r="AI19" s="8" t="s">
        <v>40</v>
      </c>
      <c r="AJ19" s="8" t="s">
        <v>86</v>
      </c>
      <c r="AK19" s="11" t="s">
        <v>87</v>
      </c>
    </row>
    <row r="20" spans="1:37" ht="17" x14ac:dyDescent="0.2">
      <c r="A20" s="12">
        <f t="shared" si="0"/>
        <v>18</v>
      </c>
      <c r="B20" s="8"/>
      <c r="C20" s="8"/>
      <c r="D20" s="9"/>
      <c r="E20" s="8"/>
      <c r="F20" s="8"/>
      <c r="G20" s="9"/>
      <c r="H20" s="8"/>
      <c r="I20" s="10" t="s">
        <v>50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 t="s">
        <v>38</v>
      </c>
      <c r="U20" s="10"/>
      <c r="V20" s="10"/>
      <c r="W20" s="10"/>
      <c r="X20" s="10"/>
      <c r="Y20" s="10"/>
      <c r="Z20" s="10"/>
      <c r="AA20" s="10"/>
      <c r="AB20" s="10"/>
      <c r="AC20" s="10" t="s">
        <v>88</v>
      </c>
      <c r="AD20" s="10" t="s">
        <v>38</v>
      </c>
      <c r="AE20" s="10" t="s">
        <v>38</v>
      </c>
      <c r="AF20" s="10" t="s">
        <v>38</v>
      </c>
      <c r="AG20" s="10"/>
      <c r="AH20" s="8" t="s">
        <v>77</v>
      </c>
      <c r="AI20" s="8" t="s">
        <v>47</v>
      </c>
      <c r="AJ20" s="8" t="s">
        <v>75</v>
      </c>
      <c r="AK20" s="11" t="s">
        <v>89</v>
      </c>
    </row>
    <row r="21" spans="1:37" x14ac:dyDescent="0.2">
      <c r="A21" s="12">
        <f t="shared" si="0"/>
        <v>19</v>
      </c>
      <c r="B21" s="8"/>
      <c r="C21" s="8"/>
      <c r="D21" s="8"/>
      <c r="E21" s="8"/>
      <c r="F21" s="8"/>
      <c r="G21" s="8"/>
      <c r="H21" s="8"/>
      <c r="I21" s="10" t="s">
        <v>37</v>
      </c>
      <c r="J21" s="10" t="s">
        <v>38</v>
      </c>
      <c r="K21" s="10" t="s">
        <v>38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 t="s">
        <v>38</v>
      </c>
      <c r="Y21" s="10"/>
      <c r="Z21" s="10"/>
      <c r="AA21" s="10" t="s">
        <v>38</v>
      </c>
      <c r="AB21" s="10"/>
      <c r="AC21" s="10"/>
      <c r="AD21" s="10" t="s">
        <v>38</v>
      </c>
      <c r="AE21" s="10"/>
      <c r="AF21" s="10" t="s">
        <v>38</v>
      </c>
      <c r="AG21" s="10"/>
      <c r="AH21" s="8" t="s">
        <v>90</v>
      </c>
      <c r="AI21" s="8" t="s">
        <v>40</v>
      </c>
      <c r="AJ21" s="8" t="s">
        <v>90</v>
      </c>
      <c r="AK21" s="11"/>
    </row>
    <row r="22" spans="1:37" ht="17" x14ac:dyDescent="0.2">
      <c r="A22" s="12">
        <f t="shared" si="0"/>
        <v>20</v>
      </c>
      <c r="B22" s="8"/>
      <c r="C22" s="8"/>
      <c r="D22" s="20"/>
      <c r="E22" s="8"/>
      <c r="F22" s="8"/>
      <c r="G22" s="14"/>
      <c r="H22" s="11"/>
      <c r="I22" s="10" t="s">
        <v>50</v>
      </c>
      <c r="J22" s="10"/>
      <c r="K22" s="10"/>
      <c r="L22" s="10"/>
      <c r="M22" s="10"/>
      <c r="N22" s="10"/>
      <c r="O22" s="10"/>
      <c r="P22" s="10"/>
      <c r="Q22" s="10"/>
      <c r="R22" s="10"/>
      <c r="S22" s="10" t="s">
        <v>38</v>
      </c>
      <c r="T22" s="10" t="s">
        <v>38</v>
      </c>
      <c r="U22" s="10"/>
      <c r="V22" s="10" t="s">
        <v>38</v>
      </c>
      <c r="W22" s="10"/>
      <c r="X22" s="10" t="s">
        <v>38</v>
      </c>
      <c r="Y22" s="10"/>
      <c r="Z22" s="10"/>
      <c r="AA22" s="10"/>
      <c r="AB22" s="10"/>
      <c r="AC22" s="10"/>
      <c r="AD22" s="10"/>
      <c r="AE22" s="10"/>
      <c r="AF22" s="10"/>
      <c r="AG22" s="10"/>
      <c r="AH22" s="8" t="s">
        <v>82</v>
      </c>
      <c r="AI22" s="8" t="s">
        <v>47</v>
      </c>
      <c r="AJ22" s="8" t="s">
        <v>91</v>
      </c>
      <c r="AK22" s="11" t="s">
        <v>92</v>
      </c>
    </row>
    <row r="23" spans="1:37" x14ac:dyDescent="0.2">
      <c r="A23" s="12">
        <f t="shared" si="0"/>
        <v>21</v>
      </c>
      <c r="B23" s="8"/>
      <c r="C23" s="8"/>
      <c r="D23" s="9"/>
      <c r="E23" s="8"/>
      <c r="F23" s="8"/>
      <c r="G23" s="9"/>
      <c r="H23" s="8"/>
      <c r="I23" s="10" t="s">
        <v>37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 t="s">
        <v>38</v>
      </c>
      <c r="V23" s="10"/>
      <c r="W23" s="10"/>
      <c r="X23" s="10"/>
      <c r="Y23" s="10"/>
      <c r="Z23" s="10"/>
      <c r="AA23" s="10"/>
      <c r="AB23" s="10"/>
      <c r="AC23" s="10"/>
      <c r="AD23" s="10" t="s">
        <v>38</v>
      </c>
      <c r="AE23" s="10" t="s">
        <v>38</v>
      </c>
      <c r="AF23" s="10" t="s">
        <v>38</v>
      </c>
      <c r="AG23" s="10"/>
      <c r="AH23" s="8" t="s">
        <v>93</v>
      </c>
      <c r="AI23" s="8" t="s">
        <v>40</v>
      </c>
      <c r="AJ23" s="8" t="s">
        <v>66</v>
      </c>
      <c r="AK23" s="11"/>
    </row>
    <row r="24" spans="1:37" ht="17" x14ac:dyDescent="0.2">
      <c r="A24" s="12">
        <f t="shared" si="0"/>
        <v>22</v>
      </c>
      <c r="B24" s="8"/>
      <c r="C24" s="8"/>
      <c r="D24" s="8"/>
      <c r="E24" s="8"/>
      <c r="F24" s="8"/>
      <c r="G24" s="9"/>
      <c r="H24" s="8"/>
      <c r="I24" s="10" t="s">
        <v>37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8" t="s">
        <v>94</v>
      </c>
      <c r="AI24" s="8"/>
      <c r="AJ24" s="8"/>
      <c r="AK24" s="11" t="s">
        <v>95</v>
      </c>
    </row>
    <row r="25" spans="1:37" x14ac:dyDescent="0.2">
      <c r="A25" s="12">
        <f t="shared" si="0"/>
        <v>23</v>
      </c>
      <c r="B25" s="8"/>
      <c r="C25" s="13"/>
      <c r="D25" s="8"/>
      <c r="E25" s="8"/>
      <c r="F25" s="8"/>
      <c r="G25" s="8"/>
      <c r="H25" s="8"/>
      <c r="I25" s="7" t="s">
        <v>37</v>
      </c>
      <c r="J25" s="7" t="s">
        <v>38</v>
      </c>
      <c r="K25" s="7" t="s">
        <v>38</v>
      </c>
      <c r="L25" s="7"/>
      <c r="M25" s="7" t="s">
        <v>38</v>
      </c>
      <c r="N25" s="7" t="s">
        <v>38</v>
      </c>
      <c r="O25" s="7"/>
      <c r="P25" s="7" t="s">
        <v>38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 t="s">
        <v>38</v>
      </c>
      <c r="AG25" s="7" t="s">
        <v>38</v>
      </c>
      <c r="AH25" s="8" t="s">
        <v>97</v>
      </c>
      <c r="AI25" s="8" t="s">
        <v>40</v>
      </c>
      <c r="AJ25" s="8" t="s">
        <v>98</v>
      </c>
      <c r="AK25" s="11"/>
    </row>
    <row r="26" spans="1:37" x14ac:dyDescent="0.2">
      <c r="A26" s="12">
        <f t="shared" si="0"/>
        <v>24</v>
      </c>
      <c r="B26" s="8"/>
      <c r="C26" s="13"/>
      <c r="D26" s="8"/>
      <c r="E26" s="8"/>
      <c r="F26" s="8"/>
      <c r="G26" s="11"/>
      <c r="H26" s="8"/>
      <c r="I26" s="7" t="s">
        <v>37</v>
      </c>
      <c r="J26" s="7" t="s">
        <v>38</v>
      </c>
      <c r="K26" s="7" t="s">
        <v>38</v>
      </c>
      <c r="L26" s="7"/>
      <c r="M26" s="7" t="s">
        <v>38</v>
      </c>
      <c r="N26" s="7" t="s">
        <v>38</v>
      </c>
      <c r="O26" s="7"/>
      <c r="P26" s="7" t="s">
        <v>38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8" t="s">
        <v>93</v>
      </c>
      <c r="AI26" s="8" t="s">
        <v>40</v>
      </c>
      <c r="AJ26" s="8" t="s">
        <v>66</v>
      </c>
      <c r="AK26" s="11"/>
    </row>
    <row r="27" spans="1:37" ht="17" x14ac:dyDescent="0.2">
      <c r="A27" s="12">
        <f t="shared" si="0"/>
        <v>25</v>
      </c>
      <c r="B27" s="8"/>
      <c r="C27" s="13"/>
      <c r="D27" s="8"/>
      <c r="E27" s="8"/>
      <c r="F27" s="8"/>
      <c r="G27" s="8"/>
      <c r="H27" s="8"/>
      <c r="I27" s="7" t="s">
        <v>37</v>
      </c>
      <c r="J27" s="7"/>
      <c r="K27" s="7" t="s">
        <v>38</v>
      </c>
      <c r="L27" s="7"/>
      <c r="M27" s="7" t="s">
        <v>38</v>
      </c>
      <c r="N27" s="7" t="s">
        <v>38</v>
      </c>
      <c r="O27" s="7"/>
      <c r="P27" s="7" t="s">
        <v>38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8" t="s">
        <v>99</v>
      </c>
      <c r="AI27" s="8" t="s">
        <v>56</v>
      </c>
      <c r="AJ27" s="8" t="s">
        <v>100</v>
      </c>
      <c r="AK27" s="11" t="s">
        <v>101</v>
      </c>
    </row>
    <row r="28" spans="1:37" ht="17" x14ac:dyDescent="0.2">
      <c r="A28" s="12">
        <f t="shared" si="0"/>
        <v>26</v>
      </c>
      <c r="B28" s="13"/>
      <c r="C28" s="13"/>
      <c r="D28" s="8"/>
      <c r="E28" s="8"/>
      <c r="F28" s="8"/>
      <c r="G28" s="8"/>
      <c r="H28" s="8"/>
      <c r="I28" s="7" t="s">
        <v>37</v>
      </c>
      <c r="J28" s="7"/>
      <c r="K28" s="7"/>
      <c r="L28" s="7"/>
      <c r="M28" s="7"/>
      <c r="N28" s="7"/>
      <c r="O28" s="7"/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 t="s">
        <v>38</v>
      </c>
      <c r="AB28" s="7">
        <v>0</v>
      </c>
      <c r="AC28" s="7" t="s">
        <v>102</v>
      </c>
      <c r="AD28" s="7">
        <v>0</v>
      </c>
      <c r="AE28" s="7">
        <v>0</v>
      </c>
      <c r="AF28" s="7">
        <v>0</v>
      </c>
      <c r="AG28" s="7">
        <v>0</v>
      </c>
      <c r="AH28" s="8" t="s">
        <v>103</v>
      </c>
      <c r="AI28" s="8" t="s">
        <v>47</v>
      </c>
      <c r="AJ28" s="8" t="s">
        <v>104</v>
      </c>
      <c r="AK28" s="11" t="s">
        <v>105</v>
      </c>
    </row>
    <row r="29" spans="1:37" x14ac:dyDescent="0.2">
      <c r="A29" s="12">
        <f t="shared" si="0"/>
        <v>27</v>
      </c>
      <c r="B29" s="8"/>
      <c r="C29" s="13"/>
      <c r="D29" s="8"/>
      <c r="E29" s="8"/>
      <c r="F29" s="8"/>
      <c r="G29" s="8"/>
      <c r="H29" s="8"/>
      <c r="I29" s="7" t="s">
        <v>37</v>
      </c>
      <c r="J29" s="7"/>
      <c r="K29" s="7"/>
      <c r="L29" s="7"/>
      <c r="M29" s="7" t="s">
        <v>38</v>
      </c>
      <c r="N29" s="7" t="s">
        <v>38</v>
      </c>
      <c r="O29" s="7"/>
      <c r="P29" s="7" t="s">
        <v>38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8" t="s">
        <v>97</v>
      </c>
      <c r="AI29" s="8" t="s">
        <v>40</v>
      </c>
      <c r="AJ29" s="8" t="s">
        <v>106</v>
      </c>
      <c r="AK29" s="11"/>
    </row>
    <row r="30" spans="1:37" ht="17" x14ac:dyDescent="0.2">
      <c r="A30" s="12">
        <f t="shared" si="0"/>
        <v>28</v>
      </c>
      <c r="B30" s="11"/>
      <c r="C30" s="11"/>
      <c r="D30" s="8"/>
      <c r="E30" s="11"/>
      <c r="F30" s="11"/>
      <c r="G30" s="11"/>
      <c r="H30" s="11"/>
      <c r="I30" s="10" t="s">
        <v>37</v>
      </c>
      <c r="J30" s="10"/>
      <c r="K30" s="10"/>
      <c r="L30" s="10" t="s">
        <v>38</v>
      </c>
      <c r="M30" s="10" t="s">
        <v>38</v>
      </c>
      <c r="N30" s="10" t="s">
        <v>38</v>
      </c>
      <c r="O30" s="10" t="s">
        <v>38</v>
      </c>
      <c r="P30" s="10" t="s">
        <v>38</v>
      </c>
      <c r="Q30" s="10"/>
      <c r="R30" s="10" t="s">
        <v>38</v>
      </c>
      <c r="S30" s="10"/>
      <c r="T30" s="10"/>
      <c r="U30" s="10" t="s">
        <v>38</v>
      </c>
      <c r="V30" s="10"/>
      <c r="W30" s="10"/>
      <c r="X30" s="10"/>
      <c r="Y30" s="10"/>
      <c r="Z30" s="10"/>
      <c r="AA30" s="10"/>
      <c r="AB30" s="10"/>
      <c r="AC30" s="10"/>
      <c r="AD30" s="10" t="s">
        <v>38</v>
      </c>
      <c r="AE30" s="10"/>
      <c r="AF30" s="10" t="s">
        <v>38</v>
      </c>
      <c r="AG30" s="10"/>
      <c r="AH30" s="8" t="s">
        <v>107</v>
      </c>
      <c r="AI30" s="8" t="s">
        <v>40</v>
      </c>
      <c r="AJ30" s="8" t="s">
        <v>108</v>
      </c>
      <c r="AK30" s="11" t="s">
        <v>109</v>
      </c>
    </row>
    <row r="31" spans="1:37" ht="34" x14ac:dyDescent="0.2">
      <c r="A31" s="12">
        <f t="shared" si="0"/>
        <v>29</v>
      </c>
      <c r="B31" s="8"/>
      <c r="C31" s="13"/>
      <c r="D31" s="8"/>
      <c r="E31" s="8"/>
      <c r="F31" s="8"/>
      <c r="G31" s="8"/>
      <c r="H31" s="8"/>
      <c r="I31" s="10" t="s">
        <v>50</v>
      </c>
      <c r="J31" s="7"/>
      <c r="K31" s="7" t="s">
        <v>38</v>
      </c>
      <c r="L31" s="7"/>
      <c r="M31" s="7" t="s">
        <v>38</v>
      </c>
      <c r="N31" s="7" t="s">
        <v>38</v>
      </c>
      <c r="O31" s="7" t="s">
        <v>38</v>
      </c>
      <c r="P31" s="7" t="s">
        <v>38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 t="s">
        <v>38</v>
      </c>
      <c r="AA31" s="7" t="s">
        <v>38</v>
      </c>
      <c r="AB31" s="7">
        <v>0</v>
      </c>
      <c r="AC31" s="7">
        <v>0</v>
      </c>
      <c r="AD31" s="7" t="s">
        <v>38</v>
      </c>
      <c r="AE31" s="7" t="s">
        <v>38</v>
      </c>
      <c r="AF31" s="7">
        <v>0</v>
      </c>
      <c r="AG31" s="7">
        <v>0</v>
      </c>
      <c r="AH31" s="8" t="s">
        <v>77</v>
      </c>
      <c r="AI31" s="8" t="s">
        <v>40</v>
      </c>
      <c r="AJ31" s="8" t="s">
        <v>82</v>
      </c>
      <c r="AK31" s="11" t="s">
        <v>110</v>
      </c>
    </row>
    <row r="32" spans="1:37" ht="17" x14ac:dyDescent="0.2">
      <c r="A32" s="12">
        <f t="shared" si="0"/>
        <v>30</v>
      </c>
      <c r="B32" s="13"/>
      <c r="C32" s="13"/>
      <c r="D32" s="8"/>
      <c r="E32" s="8"/>
      <c r="F32" s="8"/>
      <c r="G32" s="8"/>
      <c r="H32" s="8"/>
      <c r="I32" s="10" t="s">
        <v>50</v>
      </c>
      <c r="J32" s="7"/>
      <c r="K32" s="7"/>
      <c r="L32" s="7"/>
      <c r="M32" s="7"/>
      <c r="N32" s="7"/>
      <c r="O32" s="7"/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 t="s">
        <v>38</v>
      </c>
      <c r="AA32" s="7" t="s">
        <v>38</v>
      </c>
      <c r="AB32" s="7">
        <v>0</v>
      </c>
      <c r="AC32" s="7">
        <v>0</v>
      </c>
      <c r="AD32" s="7" t="s">
        <v>38</v>
      </c>
      <c r="AE32" s="7" t="s">
        <v>38</v>
      </c>
      <c r="AF32" s="7">
        <v>0</v>
      </c>
      <c r="AG32" s="7">
        <v>0</v>
      </c>
      <c r="AH32" s="8" t="s">
        <v>43</v>
      </c>
      <c r="AI32" s="8" t="s">
        <v>56</v>
      </c>
      <c r="AJ32" s="8" t="s">
        <v>44</v>
      </c>
      <c r="AK32" s="11" t="s">
        <v>111</v>
      </c>
    </row>
    <row r="33" spans="1:38" ht="17" x14ac:dyDescent="0.2">
      <c r="A33" s="12">
        <f t="shared" si="0"/>
        <v>31</v>
      </c>
      <c r="B33" s="8"/>
      <c r="C33" s="13"/>
      <c r="D33" s="8"/>
      <c r="E33" s="8"/>
      <c r="F33" s="8"/>
      <c r="G33" s="8"/>
      <c r="H33" s="8"/>
      <c r="I33" s="7" t="s">
        <v>112</v>
      </c>
      <c r="J33" s="7"/>
      <c r="K33" s="7" t="s">
        <v>38</v>
      </c>
      <c r="L33" s="7"/>
      <c r="M33" s="7" t="s">
        <v>38</v>
      </c>
      <c r="N33" s="7" t="s">
        <v>38</v>
      </c>
      <c r="O33" s="7" t="s">
        <v>38</v>
      </c>
      <c r="P33" s="7" t="s">
        <v>38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 t="s">
        <v>38</v>
      </c>
      <c r="AE33" s="7">
        <v>0</v>
      </c>
      <c r="AF33" s="7">
        <v>0</v>
      </c>
      <c r="AG33" s="7">
        <v>0</v>
      </c>
      <c r="AH33" s="8" t="s">
        <v>82</v>
      </c>
      <c r="AI33" s="8" t="s">
        <v>40</v>
      </c>
      <c r="AJ33" s="8" t="s">
        <v>82</v>
      </c>
      <c r="AK33" s="11" t="s">
        <v>113</v>
      </c>
    </row>
    <row r="34" spans="1:38" ht="17" x14ac:dyDescent="0.2">
      <c r="A34" s="12">
        <f t="shared" si="0"/>
        <v>32</v>
      </c>
      <c r="B34" s="13"/>
      <c r="C34" s="13"/>
      <c r="D34" s="9"/>
      <c r="E34" s="13"/>
      <c r="F34" s="13"/>
      <c r="G34" s="14"/>
      <c r="H34" s="8"/>
      <c r="I34" s="10" t="s">
        <v>114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 t="s">
        <v>38</v>
      </c>
      <c r="Y34" s="10" t="s">
        <v>38</v>
      </c>
      <c r="Z34" s="10" t="s">
        <v>38</v>
      </c>
      <c r="AA34" s="10" t="s">
        <v>38</v>
      </c>
      <c r="AB34" s="10"/>
      <c r="AC34" s="10"/>
      <c r="AD34" s="10" t="s">
        <v>38</v>
      </c>
      <c r="AE34" s="10" t="s">
        <v>38</v>
      </c>
      <c r="AF34" s="10" t="s">
        <v>38</v>
      </c>
      <c r="AG34" s="10" t="s">
        <v>38</v>
      </c>
      <c r="AH34" s="8" t="s">
        <v>115</v>
      </c>
      <c r="AI34" s="8" t="s">
        <v>47</v>
      </c>
      <c r="AJ34" s="8" t="s">
        <v>75</v>
      </c>
      <c r="AK34" s="11" t="s">
        <v>116</v>
      </c>
    </row>
    <row r="35" spans="1:38" ht="17" x14ac:dyDescent="0.2">
      <c r="A35" s="12">
        <f t="shared" si="0"/>
        <v>33</v>
      </c>
      <c r="B35" s="8"/>
      <c r="C35" s="8"/>
      <c r="D35" s="9"/>
      <c r="E35" s="22"/>
      <c r="F35" s="22"/>
      <c r="G35" s="17"/>
      <c r="H35" s="22"/>
      <c r="I35" s="10" t="s">
        <v>37</v>
      </c>
      <c r="J35" s="10"/>
      <c r="K35" s="10" t="s">
        <v>38</v>
      </c>
      <c r="L35" s="10"/>
      <c r="M35" s="10"/>
      <c r="N35" s="10"/>
      <c r="O35" s="10"/>
      <c r="P35" s="10"/>
      <c r="Q35" s="10"/>
      <c r="R35" s="10" t="s">
        <v>38</v>
      </c>
      <c r="S35" s="10"/>
      <c r="T35" s="10"/>
      <c r="U35" s="10" t="s">
        <v>38</v>
      </c>
      <c r="V35" s="10"/>
      <c r="W35" s="10"/>
      <c r="X35" s="10"/>
      <c r="Y35" s="10"/>
      <c r="Z35" s="10"/>
      <c r="AA35" s="10"/>
      <c r="AB35" s="10"/>
      <c r="AC35" s="10"/>
      <c r="AD35" s="10"/>
      <c r="AE35" s="10" t="s">
        <v>38</v>
      </c>
      <c r="AF35" s="10" t="s">
        <v>38</v>
      </c>
      <c r="AG35" s="10"/>
      <c r="AH35" s="8" t="s">
        <v>82</v>
      </c>
      <c r="AI35" s="8" t="s">
        <v>40</v>
      </c>
      <c r="AJ35" s="8" t="s">
        <v>82</v>
      </c>
      <c r="AK35" s="11" t="s">
        <v>117</v>
      </c>
      <c r="AL35" s="23"/>
    </row>
    <row r="36" spans="1:38" ht="17" x14ac:dyDescent="0.2">
      <c r="A36" s="12">
        <f t="shared" si="0"/>
        <v>34</v>
      </c>
      <c r="B36" s="8"/>
      <c r="C36" s="13"/>
      <c r="D36" s="8"/>
      <c r="E36" s="8"/>
      <c r="F36" s="8"/>
      <c r="G36" s="8"/>
      <c r="H36" s="8"/>
      <c r="I36" s="10" t="s">
        <v>50</v>
      </c>
      <c r="J36" s="7"/>
      <c r="K36" s="7"/>
      <c r="L36" s="7"/>
      <c r="M36" s="7"/>
      <c r="N36" s="7"/>
      <c r="O36" s="7"/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 t="s">
        <v>118</v>
      </c>
      <c r="AD36" s="7">
        <v>0</v>
      </c>
      <c r="AE36" s="7">
        <v>0</v>
      </c>
      <c r="AF36" s="7">
        <v>0</v>
      </c>
      <c r="AG36" s="7">
        <v>0</v>
      </c>
      <c r="AH36" s="8" t="s">
        <v>119</v>
      </c>
      <c r="AI36" s="8" t="s">
        <v>56</v>
      </c>
      <c r="AJ36" s="8" t="s">
        <v>94</v>
      </c>
      <c r="AK36" s="11" t="s">
        <v>120</v>
      </c>
      <c r="AL36" s="23"/>
    </row>
    <row r="37" spans="1:38" ht="34" x14ac:dyDescent="0.2">
      <c r="A37" s="12">
        <f t="shared" si="0"/>
        <v>35</v>
      </c>
      <c r="B37" s="8"/>
      <c r="C37" s="13"/>
      <c r="D37" s="17"/>
      <c r="E37" s="8"/>
      <c r="F37" s="8"/>
      <c r="G37" s="8"/>
      <c r="H37" s="8"/>
      <c r="I37" s="7" t="s">
        <v>37</v>
      </c>
      <c r="J37" s="7" t="s">
        <v>38</v>
      </c>
      <c r="K37" s="7" t="s">
        <v>38</v>
      </c>
      <c r="L37" s="7"/>
      <c r="M37" s="7" t="s">
        <v>38</v>
      </c>
      <c r="N37" s="7"/>
      <c r="O37" s="7" t="s">
        <v>38</v>
      </c>
      <c r="P37" s="7" t="s">
        <v>38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8" t="s">
        <v>82</v>
      </c>
      <c r="AI37" s="8" t="s">
        <v>40</v>
      </c>
      <c r="AJ37" s="8" t="s">
        <v>75</v>
      </c>
      <c r="AK37" s="11" t="s">
        <v>121</v>
      </c>
      <c r="AL37" s="23"/>
    </row>
    <row r="38" spans="1:38" ht="17" x14ac:dyDescent="0.2">
      <c r="A38" s="12">
        <f t="shared" si="0"/>
        <v>36</v>
      </c>
      <c r="B38" s="8"/>
      <c r="C38" s="8"/>
      <c r="D38" s="17"/>
      <c r="E38" s="8"/>
      <c r="F38" s="8"/>
      <c r="G38" s="17"/>
      <c r="H38" s="8"/>
      <c r="I38" s="10" t="s">
        <v>50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 t="s">
        <v>38</v>
      </c>
      <c r="Y38" s="10" t="s">
        <v>38</v>
      </c>
      <c r="Z38" s="10" t="s">
        <v>38</v>
      </c>
      <c r="AA38" s="10" t="s">
        <v>38</v>
      </c>
      <c r="AB38" s="10"/>
      <c r="AC38" s="10"/>
      <c r="AD38" s="10" t="s">
        <v>38</v>
      </c>
      <c r="AE38" s="10" t="s">
        <v>38</v>
      </c>
      <c r="AF38" s="10" t="s">
        <v>38</v>
      </c>
      <c r="AG38" s="10"/>
      <c r="AH38" s="8" t="s">
        <v>82</v>
      </c>
      <c r="AI38" s="8" t="s">
        <v>40</v>
      </c>
      <c r="AJ38" s="8" t="s">
        <v>82</v>
      </c>
      <c r="AK38" s="11" t="s">
        <v>122</v>
      </c>
      <c r="AL38" s="23"/>
    </row>
    <row r="39" spans="1:38" ht="85" x14ac:dyDescent="0.2">
      <c r="A39" s="12">
        <f t="shared" si="0"/>
        <v>37</v>
      </c>
      <c r="B39" s="8"/>
      <c r="C39" s="13"/>
      <c r="D39" s="17"/>
      <c r="E39" s="8"/>
      <c r="F39" s="8"/>
      <c r="G39" s="8"/>
      <c r="H39" s="8"/>
      <c r="I39" s="10" t="s">
        <v>50</v>
      </c>
      <c r="J39" s="7"/>
      <c r="K39" s="7"/>
      <c r="L39" s="7"/>
      <c r="M39" s="7" t="s">
        <v>38</v>
      </c>
      <c r="N39" s="7"/>
      <c r="O39" s="7" t="s">
        <v>38</v>
      </c>
      <c r="P39" s="7">
        <v>0</v>
      </c>
      <c r="Q39" s="7">
        <v>0</v>
      </c>
      <c r="R39" s="7" t="s">
        <v>38</v>
      </c>
      <c r="S39" s="7" t="s">
        <v>38</v>
      </c>
      <c r="T39" s="7">
        <v>0</v>
      </c>
      <c r="U39" s="7">
        <v>0</v>
      </c>
      <c r="V39" s="7">
        <v>0</v>
      </c>
      <c r="W39" s="7">
        <v>0</v>
      </c>
      <c r="X39" s="7" t="s">
        <v>38</v>
      </c>
      <c r="Y39" s="7">
        <v>0</v>
      </c>
      <c r="Z39" s="7" t="s">
        <v>38</v>
      </c>
      <c r="AA39" s="7" t="s">
        <v>38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8" t="s">
        <v>82</v>
      </c>
      <c r="AI39" s="8" t="s">
        <v>47</v>
      </c>
      <c r="AJ39" s="8" t="s">
        <v>82</v>
      </c>
      <c r="AK39" s="11" t="s">
        <v>123</v>
      </c>
      <c r="AL39" s="23"/>
    </row>
    <row r="40" spans="1:38" ht="17" x14ac:dyDescent="0.2">
      <c r="A40" s="12">
        <f t="shared" si="0"/>
        <v>38</v>
      </c>
      <c r="B40" s="13"/>
      <c r="C40" s="13"/>
      <c r="D40" s="17"/>
      <c r="E40" s="13"/>
      <c r="F40" s="13"/>
      <c r="G40" s="14"/>
      <c r="H40" s="8"/>
      <c r="I40" s="10" t="s">
        <v>50</v>
      </c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 t="s">
        <v>38</v>
      </c>
      <c r="Y40" s="10" t="s">
        <v>38</v>
      </c>
      <c r="Z40" s="10" t="s">
        <v>38</v>
      </c>
      <c r="AA40" s="10" t="s">
        <v>38</v>
      </c>
      <c r="AB40" s="10" t="s">
        <v>38</v>
      </c>
      <c r="AC40" s="10"/>
      <c r="AD40" s="10"/>
      <c r="AE40" s="10" t="s">
        <v>38</v>
      </c>
      <c r="AF40" s="10"/>
      <c r="AG40" s="10"/>
      <c r="AH40" s="8" t="s">
        <v>124</v>
      </c>
      <c r="AI40" s="8" t="s">
        <v>56</v>
      </c>
      <c r="AJ40" s="8" t="s">
        <v>125</v>
      </c>
      <c r="AK40" s="11" t="s">
        <v>126</v>
      </c>
      <c r="AL40" s="23"/>
    </row>
    <row r="41" spans="1:38" ht="34" x14ac:dyDescent="0.2">
      <c r="A41" s="12">
        <f t="shared" si="0"/>
        <v>39</v>
      </c>
      <c r="B41" s="8"/>
      <c r="C41" s="8"/>
      <c r="D41" s="17"/>
      <c r="E41" s="8"/>
      <c r="F41" s="8"/>
      <c r="G41" s="17"/>
      <c r="H41" s="24"/>
      <c r="I41" s="10" t="s">
        <v>127</v>
      </c>
      <c r="J41" s="10"/>
      <c r="K41" s="10"/>
      <c r="L41" s="10"/>
      <c r="M41" s="10"/>
      <c r="N41" s="10"/>
      <c r="O41" s="10"/>
      <c r="P41" s="10"/>
      <c r="Q41" s="10"/>
      <c r="R41" s="10" t="s">
        <v>38</v>
      </c>
      <c r="S41" s="10" t="s">
        <v>38</v>
      </c>
      <c r="T41" s="10"/>
      <c r="U41" s="10" t="s">
        <v>38</v>
      </c>
      <c r="V41" s="10" t="s">
        <v>38</v>
      </c>
      <c r="W41" s="10"/>
      <c r="X41" s="10"/>
      <c r="Y41" s="10"/>
      <c r="Z41" s="10"/>
      <c r="AA41" s="10"/>
      <c r="AB41" s="10"/>
      <c r="AC41" s="10"/>
      <c r="AD41" s="10" t="s">
        <v>38</v>
      </c>
      <c r="AE41" s="10"/>
      <c r="AF41" s="10" t="s">
        <v>38</v>
      </c>
      <c r="AG41" s="10"/>
      <c r="AH41" s="8" t="s">
        <v>128</v>
      </c>
      <c r="AI41" s="8" t="s">
        <v>56</v>
      </c>
      <c r="AJ41" s="25" t="s">
        <v>128</v>
      </c>
      <c r="AK41" s="11" t="s">
        <v>129</v>
      </c>
      <c r="AL41" s="23"/>
    </row>
    <row r="42" spans="1:38" ht="272" x14ac:dyDescent="0.2">
      <c r="A42" s="12">
        <f t="shared" si="0"/>
        <v>40</v>
      </c>
      <c r="B42" s="8"/>
      <c r="C42" s="13"/>
      <c r="D42" s="8"/>
      <c r="E42" s="8"/>
      <c r="F42" s="8"/>
      <c r="G42" s="8"/>
      <c r="H42" s="8"/>
      <c r="I42" s="10" t="s">
        <v>50</v>
      </c>
      <c r="J42" s="7" t="s">
        <v>38</v>
      </c>
      <c r="K42" s="7" t="s">
        <v>38</v>
      </c>
      <c r="L42" s="7" t="s">
        <v>38</v>
      </c>
      <c r="M42" s="7" t="s">
        <v>38</v>
      </c>
      <c r="N42" s="7" t="s">
        <v>38</v>
      </c>
      <c r="O42" s="7" t="s">
        <v>38</v>
      </c>
      <c r="P42" s="7" t="s">
        <v>38</v>
      </c>
      <c r="Q42" s="7">
        <v>0</v>
      </c>
      <c r="R42" s="7" t="s">
        <v>38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 t="s">
        <v>38</v>
      </c>
      <c r="AA42" s="7" t="s">
        <v>38</v>
      </c>
      <c r="AB42" s="7">
        <v>0</v>
      </c>
      <c r="AC42" s="7">
        <v>0</v>
      </c>
      <c r="AD42" s="7" t="s">
        <v>38</v>
      </c>
      <c r="AE42" s="7">
        <v>0</v>
      </c>
      <c r="AF42" s="7">
        <v>0</v>
      </c>
      <c r="AG42" s="7">
        <v>0</v>
      </c>
      <c r="AH42" s="8" t="s">
        <v>130</v>
      </c>
      <c r="AI42" s="8" t="s">
        <v>40</v>
      </c>
      <c r="AJ42" s="8" t="s">
        <v>66</v>
      </c>
      <c r="AK42" s="11" t="s">
        <v>131</v>
      </c>
      <c r="AL42" s="23"/>
    </row>
    <row r="43" spans="1:38" x14ac:dyDescent="0.2">
      <c r="A43" s="12">
        <f t="shared" si="0"/>
        <v>41</v>
      </c>
      <c r="B43" s="8"/>
      <c r="C43" s="13"/>
      <c r="D43" s="8"/>
      <c r="E43" s="8"/>
      <c r="F43" s="8"/>
      <c r="G43" s="8"/>
      <c r="H43" s="8"/>
      <c r="I43" s="7" t="s">
        <v>37</v>
      </c>
      <c r="J43" s="7"/>
      <c r="K43" s="7" t="s">
        <v>38</v>
      </c>
      <c r="L43" s="7" t="s">
        <v>38</v>
      </c>
      <c r="M43" s="7" t="s">
        <v>38</v>
      </c>
      <c r="N43" s="7" t="s">
        <v>38</v>
      </c>
      <c r="O43" s="7"/>
      <c r="P43" s="7" t="s">
        <v>38</v>
      </c>
      <c r="Q43" s="7">
        <v>0</v>
      </c>
      <c r="R43" s="7" t="s">
        <v>38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8" t="s">
        <v>97</v>
      </c>
      <c r="AI43" s="8" t="s">
        <v>40</v>
      </c>
      <c r="AJ43" s="8" t="s">
        <v>132</v>
      </c>
      <c r="AK43" s="11"/>
      <c r="AL43" s="26"/>
    </row>
    <row r="44" spans="1:38" x14ac:dyDescent="0.2">
      <c r="A44" s="12">
        <f t="shared" si="0"/>
        <v>42</v>
      </c>
      <c r="B44" s="8"/>
      <c r="C44" s="13"/>
      <c r="D44" s="8"/>
      <c r="E44" s="8"/>
      <c r="F44" s="8"/>
      <c r="G44" s="8"/>
      <c r="H44" s="8"/>
      <c r="I44" s="10" t="s">
        <v>50</v>
      </c>
      <c r="J44" s="7" t="s">
        <v>38</v>
      </c>
      <c r="K44" s="7" t="s">
        <v>38</v>
      </c>
      <c r="L44" s="7" t="s">
        <v>38</v>
      </c>
      <c r="M44" s="7" t="s">
        <v>38</v>
      </c>
      <c r="N44" s="7" t="s">
        <v>38</v>
      </c>
      <c r="O44" s="7" t="s">
        <v>38</v>
      </c>
      <c r="P44" s="7" t="s">
        <v>38</v>
      </c>
      <c r="Q44" s="7">
        <v>0</v>
      </c>
      <c r="R44" s="7" t="s">
        <v>38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 t="s">
        <v>38</v>
      </c>
      <c r="AA44" s="7" t="s">
        <v>38</v>
      </c>
      <c r="AB44" s="7">
        <v>0</v>
      </c>
      <c r="AC44" s="7">
        <v>0</v>
      </c>
      <c r="AD44" s="7" t="s">
        <v>38</v>
      </c>
      <c r="AE44" s="7">
        <v>0</v>
      </c>
      <c r="AF44" s="7">
        <v>0</v>
      </c>
      <c r="AG44" s="7">
        <v>0</v>
      </c>
      <c r="AH44" s="8" t="s">
        <v>97</v>
      </c>
      <c r="AI44" s="8" t="s">
        <v>40</v>
      </c>
      <c r="AJ44" s="8" t="s">
        <v>106</v>
      </c>
      <c r="AK44" s="11"/>
      <c r="AL44" s="23"/>
    </row>
    <row r="45" spans="1:38" ht="34" x14ac:dyDescent="0.2">
      <c r="A45" s="12">
        <f t="shared" si="0"/>
        <v>43</v>
      </c>
      <c r="B45" s="13"/>
      <c r="C45" s="13"/>
      <c r="D45" s="9"/>
      <c r="E45" s="13"/>
      <c r="F45" s="13"/>
      <c r="G45" s="14"/>
      <c r="H45" s="8"/>
      <c r="I45" s="10" t="s">
        <v>50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 t="s">
        <v>38</v>
      </c>
      <c r="Y45" s="10" t="s">
        <v>38</v>
      </c>
      <c r="Z45" s="10" t="s">
        <v>38</v>
      </c>
      <c r="AA45" s="10" t="s">
        <v>38</v>
      </c>
      <c r="AB45" s="10" t="s">
        <v>38</v>
      </c>
      <c r="AC45" s="16" t="s">
        <v>133</v>
      </c>
      <c r="AD45" s="10" t="s">
        <v>38</v>
      </c>
      <c r="AE45" s="10" t="s">
        <v>38</v>
      </c>
      <c r="AF45" s="10" t="s">
        <v>38</v>
      </c>
      <c r="AG45" s="10"/>
      <c r="AH45" s="8" t="s">
        <v>43</v>
      </c>
      <c r="AI45" s="8" t="s">
        <v>40</v>
      </c>
      <c r="AJ45" s="8" t="s">
        <v>44</v>
      </c>
      <c r="AK45" s="11" t="s">
        <v>134</v>
      </c>
      <c r="AL45" s="26"/>
    </row>
    <row r="46" spans="1:38" ht="17" x14ac:dyDescent="0.2">
      <c r="A46" s="12">
        <f t="shared" si="0"/>
        <v>44</v>
      </c>
      <c r="B46" s="13"/>
      <c r="C46" s="13"/>
      <c r="D46" s="9"/>
      <c r="E46" s="13"/>
      <c r="F46" s="13"/>
      <c r="G46" s="14"/>
      <c r="H46" s="8"/>
      <c r="I46" s="16" t="s">
        <v>114</v>
      </c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 t="s">
        <v>38</v>
      </c>
      <c r="Y46" s="16" t="s">
        <v>38</v>
      </c>
      <c r="Z46" s="16" t="s">
        <v>38</v>
      </c>
      <c r="AA46" s="16" t="s">
        <v>38</v>
      </c>
      <c r="AB46" s="16" t="s">
        <v>38</v>
      </c>
      <c r="AC46" s="16"/>
      <c r="AD46" s="16"/>
      <c r="AE46" s="16"/>
      <c r="AF46" s="16"/>
      <c r="AG46" s="16"/>
      <c r="AH46" s="8" t="s">
        <v>135</v>
      </c>
      <c r="AI46" s="8" t="s">
        <v>56</v>
      </c>
      <c r="AJ46" s="8" t="s">
        <v>135</v>
      </c>
      <c r="AK46" s="11" t="s">
        <v>136</v>
      </c>
      <c r="AL46" s="23"/>
    </row>
    <row r="47" spans="1:38" ht="17" x14ac:dyDescent="0.2">
      <c r="A47" s="12">
        <f t="shared" si="0"/>
        <v>45</v>
      </c>
      <c r="B47" s="8"/>
      <c r="C47" s="13"/>
      <c r="D47" s="8"/>
      <c r="E47" s="8"/>
      <c r="F47" s="8"/>
      <c r="G47" s="8"/>
      <c r="H47" s="8"/>
      <c r="I47" s="7" t="s">
        <v>37</v>
      </c>
      <c r="J47" s="7"/>
      <c r="K47" s="7" t="s">
        <v>38</v>
      </c>
      <c r="L47" s="7"/>
      <c r="M47" s="7" t="s">
        <v>38</v>
      </c>
      <c r="N47" s="7" t="s">
        <v>38</v>
      </c>
      <c r="O47" s="7"/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 t="s">
        <v>38</v>
      </c>
      <c r="AE47" s="7" t="s">
        <v>38</v>
      </c>
      <c r="AF47" s="7">
        <v>0</v>
      </c>
      <c r="AG47" s="7">
        <v>0</v>
      </c>
      <c r="AH47" s="8" t="s">
        <v>137</v>
      </c>
      <c r="AI47" s="8" t="s">
        <v>40</v>
      </c>
      <c r="AJ47" s="8" t="s">
        <v>138</v>
      </c>
      <c r="AK47" s="11" t="s">
        <v>139</v>
      </c>
      <c r="AL47" s="23"/>
    </row>
    <row r="48" spans="1:38" x14ac:dyDescent="0.2">
      <c r="A48" s="12">
        <f t="shared" si="0"/>
        <v>46</v>
      </c>
      <c r="B48" s="8"/>
      <c r="C48" s="13"/>
      <c r="D48" s="8"/>
      <c r="E48" s="8"/>
      <c r="F48" s="8"/>
      <c r="G48" s="8"/>
      <c r="H48" s="8"/>
      <c r="I48" s="7" t="s">
        <v>37</v>
      </c>
      <c r="J48" s="7" t="s">
        <v>38</v>
      </c>
      <c r="K48" s="7" t="s">
        <v>38</v>
      </c>
      <c r="L48" s="7"/>
      <c r="M48" s="7" t="s">
        <v>38</v>
      </c>
      <c r="N48" s="7" t="s">
        <v>38</v>
      </c>
      <c r="O48" s="7"/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8" t="s">
        <v>97</v>
      </c>
      <c r="AI48" s="8" t="s">
        <v>40</v>
      </c>
      <c r="AJ48" s="8" t="s">
        <v>140</v>
      </c>
      <c r="AK48" s="11"/>
      <c r="AL48" s="23"/>
    </row>
    <row r="49" spans="1:38" ht="34" x14ac:dyDescent="0.2">
      <c r="A49" s="12">
        <f t="shared" si="0"/>
        <v>47</v>
      </c>
      <c r="B49" s="8"/>
      <c r="C49" s="8"/>
      <c r="D49" s="17"/>
      <c r="E49" s="8"/>
      <c r="F49" s="8"/>
      <c r="G49" s="17"/>
      <c r="H49" s="24"/>
      <c r="I49" s="10" t="s">
        <v>141</v>
      </c>
      <c r="J49" s="10"/>
      <c r="K49" s="10"/>
      <c r="L49" s="10"/>
      <c r="M49" s="10"/>
      <c r="N49" s="10"/>
      <c r="O49" s="10"/>
      <c r="P49" s="10"/>
      <c r="Q49" s="10"/>
      <c r="R49" s="10"/>
      <c r="S49" s="10" t="s">
        <v>38</v>
      </c>
      <c r="T49" s="10"/>
      <c r="U49" s="10" t="s">
        <v>38</v>
      </c>
      <c r="V49" s="10"/>
      <c r="W49" s="10"/>
      <c r="X49" s="10"/>
      <c r="Y49" s="10"/>
      <c r="Z49" s="10"/>
      <c r="AA49" s="10" t="s">
        <v>38</v>
      </c>
      <c r="AB49" s="10"/>
      <c r="AC49" s="10"/>
      <c r="AD49" s="10" t="s">
        <v>38</v>
      </c>
      <c r="AE49" s="10" t="s">
        <v>38</v>
      </c>
      <c r="AF49" s="10" t="s">
        <v>38</v>
      </c>
      <c r="AG49" s="10"/>
      <c r="AH49" s="8" t="s">
        <v>142</v>
      </c>
      <c r="AI49" s="8" t="s">
        <v>47</v>
      </c>
      <c r="AJ49" s="8" t="s">
        <v>142</v>
      </c>
      <c r="AK49" s="11" t="s">
        <v>143</v>
      </c>
      <c r="AL49" s="26"/>
    </row>
    <row r="50" spans="1:38" ht="68" x14ac:dyDescent="0.2">
      <c r="A50" s="12">
        <f t="shared" si="0"/>
        <v>48</v>
      </c>
      <c r="B50" s="8"/>
      <c r="C50" s="8"/>
      <c r="D50" s="9"/>
      <c r="E50" s="11"/>
      <c r="F50" s="11"/>
      <c r="G50" s="19"/>
      <c r="H50" s="8"/>
      <c r="I50" s="10" t="s">
        <v>141</v>
      </c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 t="s">
        <v>38</v>
      </c>
      <c r="V50" s="10"/>
      <c r="W50" s="10"/>
      <c r="X50" s="10"/>
      <c r="Y50" s="10" t="s">
        <v>38</v>
      </c>
      <c r="Z50" s="10"/>
      <c r="AA50" s="10" t="s">
        <v>38</v>
      </c>
      <c r="AB50" s="10"/>
      <c r="AC50" s="10"/>
      <c r="AD50" s="10" t="s">
        <v>38</v>
      </c>
      <c r="AE50" s="10" t="s">
        <v>38</v>
      </c>
      <c r="AF50" s="10" t="s">
        <v>38</v>
      </c>
      <c r="AG50" s="10"/>
      <c r="AH50" s="8" t="s">
        <v>144</v>
      </c>
      <c r="AI50" s="8" t="s">
        <v>47</v>
      </c>
      <c r="AJ50" s="8" t="s">
        <v>145</v>
      </c>
      <c r="AK50" s="11" t="s">
        <v>146</v>
      </c>
      <c r="AL50" s="26"/>
    </row>
    <row r="51" spans="1:38" ht="17" x14ac:dyDescent="0.2">
      <c r="A51" s="12">
        <f t="shared" si="0"/>
        <v>49</v>
      </c>
      <c r="B51" s="8"/>
      <c r="C51" s="13"/>
      <c r="D51" s="9"/>
      <c r="E51" s="8"/>
      <c r="F51" s="8"/>
      <c r="G51" s="19"/>
      <c r="H51" s="11"/>
      <c r="I51" s="10" t="s">
        <v>37</v>
      </c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8" t="s">
        <v>147</v>
      </c>
      <c r="AI51" s="8"/>
      <c r="AJ51" s="8"/>
      <c r="AK51" s="11" t="s">
        <v>148</v>
      </c>
      <c r="AL51" s="26"/>
    </row>
    <row r="52" spans="1:38" x14ac:dyDescent="0.2">
      <c r="A52" s="12">
        <f t="shared" si="0"/>
        <v>50</v>
      </c>
      <c r="B52" s="8"/>
      <c r="C52" s="8"/>
      <c r="D52" s="9"/>
      <c r="E52" s="8"/>
      <c r="F52" s="8"/>
      <c r="G52" s="19"/>
      <c r="H52" s="11"/>
      <c r="I52" s="10" t="s">
        <v>37</v>
      </c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 t="s">
        <v>38</v>
      </c>
      <c r="V52" s="10"/>
      <c r="W52" s="10"/>
      <c r="X52" s="10"/>
      <c r="Y52" s="10"/>
      <c r="Z52" s="10"/>
      <c r="AA52" s="10" t="s">
        <v>38</v>
      </c>
      <c r="AB52" s="10"/>
      <c r="AC52" s="10"/>
      <c r="AD52" s="10" t="s">
        <v>38</v>
      </c>
      <c r="AE52" s="10" t="s">
        <v>38</v>
      </c>
      <c r="AF52" s="10" t="s">
        <v>38</v>
      </c>
      <c r="AG52" s="10"/>
      <c r="AH52" s="8" t="s">
        <v>149</v>
      </c>
      <c r="AI52" s="8" t="s">
        <v>47</v>
      </c>
      <c r="AJ52" s="8" t="s">
        <v>66</v>
      </c>
      <c r="AK52" s="11"/>
      <c r="AL52" s="26"/>
    </row>
    <row r="53" spans="1:38" ht="170" x14ac:dyDescent="0.2">
      <c r="A53" s="12">
        <f t="shared" si="0"/>
        <v>51</v>
      </c>
      <c r="B53" s="8"/>
      <c r="C53" s="8"/>
      <c r="D53" s="9"/>
      <c r="E53" s="8"/>
      <c r="F53" s="8"/>
      <c r="G53" s="9"/>
      <c r="H53" s="8"/>
      <c r="I53" s="10" t="s">
        <v>50</v>
      </c>
      <c r="J53" s="10" t="s">
        <v>38</v>
      </c>
      <c r="K53" s="10"/>
      <c r="L53" s="10" t="s">
        <v>38</v>
      </c>
      <c r="M53" s="10"/>
      <c r="N53" s="10"/>
      <c r="O53" s="10" t="s">
        <v>38</v>
      </c>
      <c r="P53" s="10" t="s">
        <v>38</v>
      </c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8" t="s">
        <v>150</v>
      </c>
      <c r="AI53" s="8" t="s">
        <v>40</v>
      </c>
      <c r="AJ53" s="8" t="s">
        <v>150</v>
      </c>
      <c r="AK53" s="11" t="s">
        <v>151</v>
      </c>
      <c r="AL53" s="23"/>
    </row>
    <row r="54" spans="1:38" ht="17" x14ac:dyDescent="0.2">
      <c r="A54" s="12">
        <f t="shared" si="0"/>
        <v>52</v>
      </c>
      <c r="B54" s="13"/>
      <c r="C54" s="13"/>
      <c r="D54" s="8"/>
      <c r="E54" s="8"/>
      <c r="F54" s="8"/>
      <c r="G54" s="8"/>
      <c r="H54" s="8"/>
      <c r="I54" s="10" t="s">
        <v>50</v>
      </c>
      <c r="J54" s="7"/>
      <c r="K54" s="7"/>
      <c r="L54" s="7"/>
      <c r="M54" s="7"/>
      <c r="N54" s="7"/>
      <c r="O54" s="7"/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 t="s">
        <v>38</v>
      </c>
      <c r="AA54" s="7" t="s">
        <v>38</v>
      </c>
      <c r="AB54" s="7">
        <v>0</v>
      </c>
      <c r="AC54" s="7">
        <v>0</v>
      </c>
      <c r="AD54" s="7" t="s">
        <v>38</v>
      </c>
      <c r="AE54" s="7">
        <v>0</v>
      </c>
      <c r="AF54" s="7">
        <v>0</v>
      </c>
      <c r="AG54" s="7">
        <v>0</v>
      </c>
      <c r="AH54" s="8" t="s">
        <v>152</v>
      </c>
      <c r="AI54" s="8" t="s">
        <v>56</v>
      </c>
      <c r="AJ54" s="8" t="s">
        <v>153</v>
      </c>
      <c r="AK54" s="11" t="s">
        <v>154</v>
      </c>
      <c r="AL54" s="23"/>
    </row>
    <row r="55" spans="1:38" ht="34" x14ac:dyDescent="0.2">
      <c r="A55" s="12">
        <f t="shared" si="0"/>
        <v>53</v>
      </c>
      <c r="B55" s="8"/>
      <c r="C55" s="8"/>
      <c r="D55" s="9"/>
      <c r="E55" s="8"/>
      <c r="F55" s="8"/>
      <c r="G55" s="9"/>
      <c r="H55" s="8"/>
      <c r="I55" s="10" t="s">
        <v>112</v>
      </c>
      <c r="J55" s="10"/>
      <c r="K55" s="10"/>
      <c r="L55" s="10"/>
      <c r="M55" s="10"/>
      <c r="N55" s="10"/>
      <c r="O55" s="10"/>
      <c r="P55" s="10"/>
      <c r="Q55" s="10"/>
      <c r="R55" s="10"/>
      <c r="S55" s="10" t="s">
        <v>38</v>
      </c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8" t="s">
        <v>155</v>
      </c>
      <c r="AI55" s="8" t="s">
        <v>47</v>
      </c>
      <c r="AJ55" s="8" t="s">
        <v>155</v>
      </c>
      <c r="AK55" s="11" t="s">
        <v>156</v>
      </c>
      <c r="AL55" s="26"/>
    </row>
    <row r="56" spans="1:38" ht="34" x14ac:dyDescent="0.2">
      <c r="A56" s="12">
        <f t="shared" si="0"/>
        <v>54</v>
      </c>
      <c r="B56" s="8"/>
      <c r="C56" s="8"/>
      <c r="D56" s="9"/>
      <c r="E56" s="8"/>
      <c r="F56" s="8"/>
      <c r="G56" s="9"/>
      <c r="H56" s="8"/>
      <c r="I56" s="10" t="s">
        <v>50</v>
      </c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 t="s">
        <v>38</v>
      </c>
      <c r="V56" s="10"/>
      <c r="W56" s="10" t="s">
        <v>38</v>
      </c>
      <c r="X56" s="10" t="s">
        <v>38</v>
      </c>
      <c r="Y56" s="10" t="s">
        <v>38</v>
      </c>
      <c r="Z56" s="10" t="s">
        <v>38</v>
      </c>
      <c r="AA56" s="10" t="s">
        <v>38</v>
      </c>
      <c r="AB56" s="10" t="s">
        <v>38</v>
      </c>
      <c r="AC56" s="10"/>
      <c r="AD56" s="10" t="s">
        <v>38</v>
      </c>
      <c r="AE56" s="10" t="s">
        <v>38</v>
      </c>
      <c r="AF56" s="10" t="s">
        <v>38</v>
      </c>
      <c r="AG56" s="10" t="s">
        <v>38</v>
      </c>
      <c r="AH56" s="8" t="s">
        <v>82</v>
      </c>
      <c r="AI56" s="8" t="s">
        <v>47</v>
      </c>
      <c r="AJ56" s="8" t="s">
        <v>82</v>
      </c>
      <c r="AK56" s="11" t="s">
        <v>157</v>
      </c>
      <c r="AL56" s="26"/>
    </row>
    <row r="57" spans="1:38" x14ac:dyDescent="0.2">
      <c r="A57" s="12">
        <f t="shared" si="0"/>
        <v>55</v>
      </c>
      <c r="B57" s="8"/>
      <c r="C57" s="13"/>
      <c r="D57" s="8"/>
      <c r="E57" s="8"/>
      <c r="F57" s="8"/>
      <c r="G57" s="8"/>
      <c r="H57" s="8"/>
      <c r="I57" s="7" t="s">
        <v>37</v>
      </c>
      <c r="J57" s="7"/>
      <c r="K57" s="7" t="s">
        <v>38</v>
      </c>
      <c r="L57" s="7"/>
      <c r="M57" s="7"/>
      <c r="N57" s="7"/>
      <c r="O57" s="7"/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8" t="s">
        <v>97</v>
      </c>
      <c r="AI57" s="8" t="s">
        <v>40</v>
      </c>
      <c r="AJ57" s="8" t="s">
        <v>158</v>
      </c>
      <c r="AK57" s="11"/>
      <c r="AL57" s="26"/>
    </row>
    <row r="58" spans="1:38" ht="17" x14ac:dyDescent="0.2">
      <c r="A58" s="12">
        <f t="shared" si="0"/>
        <v>56</v>
      </c>
      <c r="B58" s="13"/>
      <c r="C58" s="13"/>
      <c r="D58" s="9"/>
      <c r="E58" s="8"/>
      <c r="F58" s="8"/>
      <c r="G58" s="9"/>
      <c r="H58" s="8"/>
      <c r="I58" s="7" t="s">
        <v>37</v>
      </c>
      <c r="J58" s="7"/>
      <c r="K58" s="7"/>
      <c r="L58" s="7"/>
      <c r="M58" s="7"/>
      <c r="N58" s="7"/>
      <c r="O58" s="7"/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 t="s">
        <v>159</v>
      </c>
      <c r="AD58" s="7">
        <v>0</v>
      </c>
      <c r="AE58" s="7">
        <v>0</v>
      </c>
      <c r="AF58" s="7">
        <v>0</v>
      </c>
      <c r="AG58" s="7">
        <v>0</v>
      </c>
      <c r="AH58" s="8" t="s">
        <v>43</v>
      </c>
      <c r="AI58" s="8" t="s">
        <v>40</v>
      </c>
      <c r="AJ58" s="8" t="s">
        <v>44</v>
      </c>
      <c r="AK58" s="11" t="s">
        <v>160</v>
      </c>
      <c r="AL58" s="23"/>
    </row>
    <row r="59" spans="1:38" ht="17" x14ac:dyDescent="0.2">
      <c r="A59" s="12">
        <f t="shared" si="0"/>
        <v>57</v>
      </c>
      <c r="B59" s="13"/>
      <c r="C59" s="13"/>
      <c r="D59" s="8"/>
      <c r="E59" s="8"/>
      <c r="F59" s="8"/>
      <c r="G59" s="8"/>
      <c r="H59" s="8"/>
      <c r="I59" s="10" t="s">
        <v>50</v>
      </c>
      <c r="J59" s="7"/>
      <c r="K59" s="7"/>
      <c r="L59" s="7"/>
      <c r="M59" s="7"/>
      <c r="N59" s="7"/>
      <c r="O59" s="7"/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 t="s">
        <v>38</v>
      </c>
      <c r="AA59" s="7" t="s">
        <v>38</v>
      </c>
      <c r="AB59" s="7">
        <v>0</v>
      </c>
      <c r="AC59" s="7" t="s">
        <v>161</v>
      </c>
      <c r="AD59" s="7">
        <v>0</v>
      </c>
      <c r="AE59" s="7">
        <v>0</v>
      </c>
      <c r="AF59" s="7">
        <v>0</v>
      </c>
      <c r="AG59" s="7">
        <v>0</v>
      </c>
      <c r="AH59" s="8" t="s">
        <v>43</v>
      </c>
      <c r="AI59" s="8" t="s">
        <v>40</v>
      </c>
      <c r="AJ59" s="8" t="s">
        <v>44</v>
      </c>
      <c r="AK59" s="11" t="s">
        <v>162</v>
      </c>
      <c r="AL59" s="23"/>
    </row>
    <row r="60" spans="1:38" ht="15" customHeight="1" x14ac:dyDescent="0.2">
      <c r="A60" s="12">
        <f t="shared" si="0"/>
        <v>58</v>
      </c>
      <c r="B60" s="8"/>
      <c r="C60" s="8"/>
      <c r="D60" s="9"/>
      <c r="E60" s="8"/>
      <c r="F60" s="8"/>
      <c r="G60" s="8"/>
      <c r="H60" s="8"/>
      <c r="I60" s="10" t="s">
        <v>114</v>
      </c>
      <c r="J60" s="10" t="s">
        <v>38</v>
      </c>
      <c r="K60" s="10" t="s">
        <v>38</v>
      </c>
      <c r="L60" s="10" t="s">
        <v>38</v>
      </c>
      <c r="M60" s="10" t="s">
        <v>38</v>
      </c>
      <c r="N60" s="10" t="s">
        <v>38</v>
      </c>
      <c r="O60" s="10" t="s">
        <v>38</v>
      </c>
      <c r="P60" s="10" t="s">
        <v>38</v>
      </c>
      <c r="Q60" s="10" t="s">
        <v>38</v>
      </c>
      <c r="R60" s="10"/>
      <c r="S60" s="10"/>
      <c r="T60" s="10"/>
      <c r="U60" s="10"/>
      <c r="V60" s="10"/>
      <c r="W60" s="10"/>
      <c r="X60" s="10" t="s">
        <v>38</v>
      </c>
      <c r="Y60" s="10" t="s">
        <v>38</v>
      </c>
      <c r="Z60" s="10" t="s">
        <v>38</v>
      </c>
      <c r="AA60" s="10" t="s">
        <v>38</v>
      </c>
      <c r="AB60" s="10" t="s">
        <v>38</v>
      </c>
      <c r="AC60" s="10"/>
      <c r="AD60" s="10" t="s">
        <v>38</v>
      </c>
      <c r="AE60" s="10" t="s">
        <v>38</v>
      </c>
      <c r="AF60" s="10" t="s">
        <v>38</v>
      </c>
      <c r="AG60" s="10" t="s">
        <v>38</v>
      </c>
      <c r="AH60" s="8" t="s">
        <v>163</v>
      </c>
      <c r="AI60" s="8" t="s">
        <v>47</v>
      </c>
      <c r="AJ60" s="8" t="s">
        <v>82</v>
      </c>
      <c r="AK60" s="11" t="s">
        <v>164</v>
      </c>
      <c r="AL60" s="26"/>
    </row>
    <row r="61" spans="1:38" ht="14.25" customHeight="1" x14ac:dyDescent="0.2">
      <c r="A61" s="12">
        <f t="shared" si="0"/>
        <v>59</v>
      </c>
      <c r="B61" s="8"/>
      <c r="C61" s="13"/>
      <c r="D61" s="8"/>
      <c r="E61" s="8"/>
      <c r="F61" s="8"/>
      <c r="G61" s="8"/>
      <c r="H61" s="8"/>
      <c r="I61" s="10" t="s">
        <v>50</v>
      </c>
      <c r="J61" s="10"/>
      <c r="K61" s="10"/>
      <c r="L61" s="10"/>
      <c r="M61" s="10"/>
      <c r="N61" s="10"/>
      <c r="O61" s="10"/>
      <c r="P61" s="10"/>
      <c r="Q61" s="10"/>
      <c r="R61" s="10" t="s">
        <v>38</v>
      </c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 t="s">
        <v>165</v>
      </c>
      <c r="AD61" s="10"/>
      <c r="AE61" s="10"/>
      <c r="AF61" s="10"/>
      <c r="AG61" s="10"/>
      <c r="AH61" s="8" t="s">
        <v>166</v>
      </c>
      <c r="AI61" s="8" t="s">
        <v>40</v>
      </c>
      <c r="AJ61" s="8" t="s">
        <v>44</v>
      </c>
      <c r="AK61" s="11" t="s">
        <v>167</v>
      </c>
      <c r="AL61" s="26"/>
    </row>
    <row r="62" spans="1:38" ht="51" x14ac:dyDescent="0.2">
      <c r="A62" s="12">
        <f t="shared" si="0"/>
        <v>60</v>
      </c>
      <c r="B62" s="8"/>
      <c r="C62" s="8"/>
      <c r="D62" s="9"/>
      <c r="E62" s="11"/>
      <c r="F62" s="11"/>
      <c r="G62" s="19"/>
      <c r="H62" s="8"/>
      <c r="I62" s="10" t="s">
        <v>112</v>
      </c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 t="s">
        <v>38</v>
      </c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8" t="s">
        <v>168</v>
      </c>
      <c r="AI62" s="8" t="s">
        <v>47</v>
      </c>
      <c r="AJ62" s="8" t="s">
        <v>169</v>
      </c>
      <c r="AK62" s="11" t="s">
        <v>170</v>
      </c>
    </row>
    <row r="63" spans="1:38" ht="17" x14ac:dyDescent="0.2">
      <c r="A63" s="12">
        <f t="shared" si="0"/>
        <v>61</v>
      </c>
      <c r="B63" s="8"/>
      <c r="C63" s="13"/>
      <c r="D63" s="8"/>
      <c r="E63" s="8"/>
      <c r="F63" s="8"/>
      <c r="G63" s="8"/>
      <c r="H63" s="8"/>
      <c r="I63" s="7" t="s">
        <v>37</v>
      </c>
      <c r="J63" s="7" t="s">
        <v>38</v>
      </c>
      <c r="K63" s="7" t="s">
        <v>38</v>
      </c>
      <c r="L63" s="7"/>
      <c r="M63" s="7" t="s">
        <v>38</v>
      </c>
      <c r="N63" s="7" t="s">
        <v>38</v>
      </c>
      <c r="O63" s="7"/>
      <c r="P63" s="7" t="s">
        <v>38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8" t="s">
        <v>81</v>
      </c>
      <c r="AI63" s="8" t="s">
        <v>40</v>
      </c>
      <c r="AJ63" s="8" t="s">
        <v>82</v>
      </c>
      <c r="AK63" s="11" t="s">
        <v>171</v>
      </c>
    </row>
    <row r="64" spans="1:38" ht="187" x14ac:dyDescent="0.2">
      <c r="A64" s="12">
        <f t="shared" si="0"/>
        <v>62</v>
      </c>
      <c r="B64" s="8"/>
      <c r="C64" s="13"/>
      <c r="D64" s="8"/>
      <c r="E64" s="8"/>
      <c r="F64" s="8"/>
      <c r="G64" s="8"/>
      <c r="H64" s="8"/>
      <c r="I64" s="10" t="s">
        <v>50</v>
      </c>
      <c r="J64" s="7"/>
      <c r="K64" s="7" t="s">
        <v>38</v>
      </c>
      <c r="L64" s="7"/>
      <c r="M64" s="7" t="s">
        <v>38</v>
      </c>
      <c r="N64" s="7" t="s">
        <v>38</v>
      </c>
      <c r="O64" s="7"/>
      <c r="P64" s="7" t="s">
        <v>38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 t="s">
        <v>38</v>
      </c>
      <c r="AE64" s="7">
        <v>0</v>
      </c>
      <c r="AF64" s="7">
        <v>0</v>
      </c>
      <c r="AG64" s="7">
        <v>0</v>
      </c>
      <c r="AH64" s="8" t="s">
        <v>172</v>
      </c>
      <c r="AI64" s="8" t="s">
        <v>40</v>
      </c>
      <c r="AJ64" s="8" t="s">
        <v>94</v>
      </c>
      <c r="AK64" s="11" t="s">
        <v>173</v>
      </c>
    </row>
    <row r="65" spans="1:37" ht="17" x14ac:dyDescent="0.2">
      <c r="A65" s="12">
        <f t="shared" si="0"/>
        <v>63</v>
      </c>
      <c r="B65" s="13"/>
      <c r="C65" s="13"/>
      <c r="D65" s="9"/>
      <c r="E65" s="13"/>
      <c r="F65" s="13"/>
      <c r="G65" s="14"/>
      <c r="H65" s="8"/>
      <c r="I65" s="10" t="s">
        <v>50</v>
      </c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 t="s">
        <v>38</v>
      </c>
      <c r="Y65" s="10"/>
      <c r="Z65" s="10" t="s">
        <v>38</v>
      </c>
      <c r="AA65" s="10" t="s">
        <v>38</v>
      </c>
      <c r="AB65" s="10" t="s">
        <v>38</v>
      </c>
      <c r="AC65" s="10"/>
      <c r="AD65" s="10" t="s">
        <v>38</v>
      </c>
      <c r="AE65" s="10"/>
      <c r="AF65" s="10"/>
      <c r="AG65" s="10"/>
      <c r="AH65" s="8" t="s">
        <v>43</v>
      </c>
      <c r="AI65" s="8" t="s">
        <v>40</v>
      </c>
      <c r="AJ65" s="8" t="s">
        <v>44</v>
      </c>
      <c r="AK65" s="11" t="s">
        <v>174</v>
      </c>
    </row>
    <row r="66" spans="1:37" ht="17" x14ac:dyDescent="0.2">
      <c r="A66" s="12">
        <f t="shared" si="0"/>
        <v>64</v>
      </c>
      <c r="B66" s="8"/>
      <c r="C66" s="8"/>
      <c r="D66" s="9"/>
      <c r="E66" s="11"/>
      <c r="F66" s="11"/>
      <c r="G66" s="14"/>
      <c r="H66" s="8"/>
      <c r="I66" s="10" t="s">
        <v>141</v>
      </c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 t="s">
        <v>38</v>
      </c>
      <c r="V66" s="10"/>
      <c r="W66" s="10"/>
      <c r="X66" s="10"/>
      <c r="Y66" s="10"/>
      <c r="Z66" s="10"/>
      <c r="AA66" s="10" t="s">
        <v>38</v>
      </c>
      <c r="AB66" s="10"/>
      <c r="AC66" s="10"/>
      <c r="AD66" s="10" t="s">
        <v>38</v>
      </c>
      <c r="AE66" s="10" t="s">
        <v>38</v>
      </c>
      <c r="AF66" s="10" t="s">
        <v>38</v>
      </c>
      <c r="AG66" s="10"/>
      <c r="AH66" s="8" t="s">
        <v>142</v>
      </c>
      <c r="AI66" s="8" t="s">
        <v>47</v>
      </c>
      <c r="AJ66" s="8" t="s">
        <v>142</v>
      </c>
      <c r="AK66" s="11" t="s">
        <v>175</v>
      </c>
    </row>
    <row r="67" spans="1:37" ht="51" x14ac:dyDescent="0.2">
      <c r="A67" s="12">
        <f t="shared" si="0"/>
        <v>65</v>
      </c>
      <c r="B67" s="8"/>
      <c r="C67" s="8"/>
      <c r="D67" s="9"/>
      <c r="E67" s="8"/>
      <c r="F67" s="8"/>
      <c r="G67" s="9"/>
      <c r="H67" s="8"/>
      <c r="I67" s="10" t="s">
        <v>114</v>
      </c>
      <c r="J67" s="10"/>
      <c r="K67" s="10"/>
      <c r="L67" s="10"/>
      <c r="M67" s="10"/>
      <c r="N67" s="10"/>
      <c r="O67" s="10"/>
      <c r="P67" s="10"/>
      <c r="Q67" s="10"/>
      <c r="R67" s="10"/>
      <c r="S67" s="10" t="s">
        <v>38</v>
      </c>
      <c r="T67" s="10" t="s">
        <v>38</v>
      </c>
      <c r="U67" s="10"/>
      <c r="V67" s="10" t="s">
        <v>38</v>
      </c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1" t="s">
        <v>82</v>
      </c>
      <c r="AI67" s="8" t="s">
        <v>47</v>
      </c>
      <c r="AJ67" s="8" t="s">
        <v>82</v>
      </c>
      <c r="AK67" s="11" t="s">
        <v>176</v>
      </c>
    </row>
    <row r="68" spans="1:37" ht="17" x14ac:dyDescent="0.2">
      <c r="A68" s="12">
        <f t="shared" si="0"/>
        <v>66</v>
      </c>
      <c r="B68" s="13"/>
      <c r="C68" s="13"/>
      <c r="D68" s="8"/>
      <c r="E68" s="8"/>
      <c r="F68" s="8"/>
      <c r="G68" s="8"/>
      <c r="H68" s="8"/>
      <c r="I68" s="7" t="s">
        <v>114</v>
      </c>
      <c r="J68" s="7"/>
      <c r="K68" s="7" t="s">
        <v>38</v>
      </c>
      <c r="L68" s="7"/>
      <c r="M68" s="7"/>
      <c r="N68" s="7"/>
      <c r="O68" s="7"/>
      <c r="P68" s="7">
        <v>0</v>
      </c>
      <c r="Q68" s="7" t="s">
        <v>38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 t="s">
        <v>38</v>
      </c>
      <c r="AB68" s="7">
        <v>0</v>
      </c>
      <c r="AC68" s="7" t="s">
        <v>177</v>
      </c>
      <c r="AD68" s="7" t="s">
        <v>38</v>
      </c>
      <c r="AE68" s="7">
        <v>0</v>
      </c>
      <c r="AF68" s="7">
        <v>0</v>
      </c>
      <c r="AG68" s="7" t="s">
        <v>38</v>
      </c>
      <c r="AH68" s="8" t="s">
        <v>178</v>
      </c>
      <c r="AI68" s="8" t="s">
        <v>56</v>
      </c>
      <c r="AJ68" s="8" t="s">
        <v>179</v>
      </c>
      <c r="AK68" s="11" t="s">
        <v>180</v>
      </c>
    </row>
    <row r="69" spans="1:37" ht="51" x14ac:dyDescent="0.2">
      <c r="A69" s="12">
        <f t="shared" ref="A69:A132" si="1">1+A68</f>
        <v>67</v>
      </c>
      <c r="B69" s="8"/>
      <c r="C69" s="13"/>
      <c r="D69" s="8"/>
      <c r="E69" s="8"/>
      <c r="F69" s="8"/>
      <c r="G69" s="11"/>
      <c r="H69" s="8"/>
      <c r="I69" s="7" t="s">
        <v>37</v>
      </c>
      <c r="J69" s="7" t="s">
        <v>38</v>
      </c>
      <c r="K69" s="7" t="s">
        <v>38</v>
      </c>
      <c r="L69" s="7"/>
      <c r="M69" s="7" t="s">
        <v>38</v>
      </c>
      <c r="N69" s="7" t="s">
        <v>38</v>
      </c>
      <c r="O69" s="7"/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 t="s">
        <v>181</v>
      </c>
      <c r="AD69" s="7" t="s">
        <v>38</v>
      </c>
      <c r="AE69" s="7">
        <v>0</v>
      </c>
      <c r="AF69" s="7" t="s">
        <v>38</v>
      </c>
      <c r="AG69" s="7">
        <v>0</v>
      </c>
      <c r="AH69" s="8" t="s">
        <v>182</v>
      </c>
      <c r="AI69" s="8" t="s">
        <v>40</v>
      </c>
      <c r="AJ69" s="8" t="s">
        <v>183</v>
      </c>
      <c r="AK69" s="11" t="s">
        <v>184</v>
      </c>
    </row>
    <row r="70" spans="1:37" ht="34" x14ac:dyDescent="0.2">
      <c r="A70" s="12">
        <f t="shared" si="1"/>
        <v>68</v>
      </c>
      <c r="B70" s="8"/>
      <c r="C70" s="8"/>
      <c r="D70" s="17"/>
      <c r="E70" s="8"/>
      <c r="F70" s="8"/>
      <c r="G70" s="17"/>
      <c r="H70" s="8"/>
      <c r="I70" s="10" t="s">
        <v>112</v>
      </c>
      <c r="J70" s="10"/>
      <c r="K70" s="10"/>
      <c r="L70" s="10"/>
      <c r="M70" s="10"/>
      <c r="N70" s="10"/>
      <c r="O70" s="10"/>
      <c r="P70" s="10"/>
      <c r="Q70" s="10"/>
      <c r="R70" s="10"/>
      <c r="S70" s="10" t="s">
        <v>38</v>
      </c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8" t="s">
        <v>185</v>
      </c>
      <c r="AI70" s="8" t="s">
        <v>47</v>
      </c>
      <c r="AJ70" s="8" t="s">
        <v>186</v>
      </c>
      <c r="AK70" s="11" t="s">
        <v>187</v>
      </c>
    </row>
    <row r="71" spans="1:37" ht="136" x14ac:dyDescent="0.2">
      <c r="A71" s="12">
        <f t="shared" si="1"/>
        <v>69</v>
      </c>
      <c r="B71" s="8"/>
      <c r="C71" s="13"/>
      <c r="D71" s="8"/>
      <c r="E71" s="8"/>
      <c r="F71" s="8"/>
      <c r="G71" s="8"/>
      <c r="H71" s="8"/>
      <c r="I71" s="7" t="s">
        <v>37</v>
      </c>
      <c r="J71" s="7"/>
      <c r="K71" s="7" t="s">
        <v>38</v>
      </c>
      <c r="L71" s="7"/>
      <c r="M71" s="7" t="s">
        <v>38</v>
      </c>
      <c r="N71" s="7" t="s">
        <v>38</v>
      </c>
      <c r="O71" s="7"/>
      <c r="P71" s="7" t="s">
        <v>38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 t="s">
        <v>38</v>
      </c>
      <c r="AE71" s="7">
        <v>0</v>
      </c>
      <c r="AF71" s="7" t="s">
        <v>38</v>
      </c>
      <c r="AG71" s="7">
        <v>0</v>
      </c>
      <c r="AH71" s="8" t="s">
        <v>188</v>
      </c>
      <c r="AI71" s="8" t="s">
        <v>40</v>
      </c>
      <c r="AJ71" s="8" t="s">
        <v>189</v>
      </c>
      <c r="AK71" s="11" t="s">
        <v>190</v>
      </c>
    </row>
    <row r="72" spans="1:37" ht="17" x14ac:dyDescent="0.2">
      <c r="A72" s="12">
        <f t="shared" si="1"/>
        <v>70</v>
      </c>
      <c r="B72" s="8"/>
      <c r="C72" s="8"/>
      <c r="D72" s="8"/>
      <c r="E72" s="8"/>
      <c r="F72" s="8"/>
      <c r="G72" s="17"/>
      <c r="H72" s="8"/>
      <c r="I72" s="10" t="s">
        <v>141</v>
      </c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 t="s">
        <v>38</v>
      </c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8" t="s">
        <v>191</v>
      </c>
      <c r="AI72" s="8" t="s">
        <v>47</v>
      </c>
      <c r="AJ72" s="8" t="s">
        <v>75</v>
      </c>
      <c r="AK72" s="11" t="s">
        <v>192</v>
      </c>
    </row>
    <row r="73" spans="1:37" ht="51" x14ac:dyDescent="0.2">
      <c r="A73" s="12">
        <f t="shared" si="1"/>
        <v>71</v>
      </c>
      <c r="B73" s="8"/>
      <c r="C73" s="8"/>
      <c r="D73" s="17"/>
      <c r="E73" s="8"/>
      <c r="F73" s="8"/>
      <c r="G73" s="17"/>
      <c r="H73" s="8"/>
      <c r="I73" s="10" t="s">
        <v>114</v>
      </c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 t="s">
        <v>38</v>
      </c>
      <c r="U73" s="10"/>
      <c r="V73" s="10"/>
      <c r="W73" s="10"/>
      <c r="X73" s="10" t="s">
        <v>38</v>
      </c>
      <c r="Y73" s="10" t="s">
        <v>38</v>
      </c>
      <c r="Z73" s="10" t="s">
        <v>38</v>
      </c>
      <c r="AA73" s="10" t="s">
        <v>38</v>
      </c>
      <c r="AB73" s="10" t="s">
        <v>38</v>
      </c>
      <c r="AC73" s="10"/>
      <c r="AD73" s="10" t="s">
        <v>38</v>
      </c>
      <c r="AE73" s="10" t="s">
        <v>38</v>
      </c>
      <c r="AF73" s="10" t="s">
        <v>38</v>
      </c>
      <c r="AG73" s="10"/>
      <c r="AH73" s="11" t="s">
        <v>193</v>
      </c>
      <c r="AI73" s="11" t="s">
        <v>47</v>
      </c>
      <c r="AJ73" s="11" t="s">
        <v>194</v>
      </c>
      <c r="AK73" s="11" t="s">
        <v>195</v>
      </c>
    </row>
    <row r="74" spans="1:37" ht="136" x14ac:dyDescent="0.2">
      <c r="A74" s="12">
        <f t="shared" si="1"/>
        <v>72</v>
      </c>
      <c r="B74" s="8"/>
      <c r="C74" s="13"/>
      <c r="D74" s="8"/>
      <c r="E74" s="8"/>
      <c r="F74" s="8"/>
      <c r="G74" s="8"/>
      <c r="H74" s="8"/>
      <c r="I74" s="7" t="s">
        <v>37</v>
      </c>
      <c r="J74" s="7"/>
      <c r="K74" s="7" t="s">
        <v>38</v>
      </c>
      <c r="L74" s="7"/>
      <c r="M74" s="7" t="s">
        <v>38</v>
      </c>
      <c r="N74" s="7" t="s">
        <v>38</v>
      </c>
      <c r="O74" s="7"/>
      <c r="P74" s="7" t="s">
        <v>38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 t="s">
        <v>38</v>
      </c>
      <c r="AE74" s="7">
        <v>0</v>
      </c>
      <c r="AF74" s="7" t="s">
        <v>38</v>
      </c>
      <c r="AG74" s="7">
        <v>0</v>
      </c>
      <c r="AH74" s="8" t="s">
        <v>188</v>
      </c>
      <c r="AI74" s="8" t="s">
        <v>40</v>
      </c>
      <c r="AJ74" s="8" t="s">
        <v>189</v>
      </c>
      <c r="AK74" s="11" t="s">
        <v>190</v>
      </c>
    </row>
    <row r="75" spans="1:37" x14ac:dyDescent="0.2">
      <c r="A75" s="12">
        <f t="shared" si="1"/>
        <v>73</v>
      </c>
      <c r="B75" s="13"/>
      <c r="C75" s="13"/>
      <c r="D75" s="8"/>
      <c r="E75" s="15"/>
      <c r="F75" s="15"/>
      <c r="G75" s="19"/>
      <c r="H75" s="11"/>
      <c r="I75" s="10" t="s">
        <v>37</v>
      </c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 t="s">
        <v>38</v>
      </c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8" t="s">
        <v>81</v>
      </c>
      <c r="AI75" s="8"/>
      <c r="AJ75" s="8" t="s">
        <v>82</v>
      </c>
      <c r="AK75" s="11"/>
    </row>
    <row r="76" spans="1:37" ht="34" x14ac:dyDescent="0.2">
      <c r="A76" s="12">
        <f t="shared" si="1"/>
        <v>74</v>
      </c>
      <c r="B76" s="8"/>
      <c r="C76" s="13"/>
      <c r="D76" s="8"/>
      <c r="E76" s="8"/>
      <c r="F76" s="8"/>
      <c r="G76" s="8"/>
      <c r="H76" s="8"/>
      <c r="I76" s="10" t="s">
        <v>50</v>
      </c>
      <c r="J76" s="7"/>
      <c r="K76" s="7"/>
      <c r="L76" s="7"/>
      <c r="M76" s="7" t="s">
        <v>38</v>
      </c>
      <c r="N76" s="7" t="s">
        <v>38</v>
      </c>
      <c r="O76" s="7" t="s">
        <v>38</v>
      </c>
      <c r="P76" s="7" t="s">
        <v>38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 t="s">
        <v>38</v>
      </c>
      <c r="AH76" s="8" t="s">
        <v>82</v>
      </c>
      <c r="AI76" s="8" t="s">
        <v>40</v>
      </c>
      <c r="AJ76" s="8" t="s">
        <v>75</v>
      </c>
      <c r="AK76" s="11" t="s">
        <v>196</v>
      </c>
    </row>
    <row r="77" spans="1:37" ht="17" x14ac:dyDescent="0.2">
      <c r="A77" s="12">
        <f t="shared" si="1"/>
        <v>75</v>
      </c>
      <c r="B77" s="8"/>
      <c r="C77" s="27"/>
      <c r="D77" s="8"/>
      <c r="E77" s="8"/>
      <c r="F77" s="8"/>
      <c r="G77" s="17"/>
      <c r="H77" s="8"/>
      <c r="I77" s="10" t="s">
        <v>37</v>
      </c>
      <c r="J77" s="10"/>
      <c r="K77" s="10"/>
      <c r="L77" s="10"/>
      <c r="M77" s="10"/>
      <c r="N77" s="10"/>
      <c r="O77" s="10"/>
      <c r="P77" s="10"/>
      <c r="Q77" s="10"/>
      <c r="R77" s="10"/>
      <c r="S77" s="10" t="s">
        <v>38</v>
      </c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8" t="s">
        <v>197</v>
      </c>
      <c r="AI77" s="8"/>
      <c r="AJ77" s="8"/>
      <c r="AK77" s="11" t="s">
        <v>198</v>
      </c>
    </row>
    <row r="78" spans="1:37" ht="17" x14ac:dyDescent="0.2">
      <c r="A78" s="12">
        <f t="shared" si="1"/>
        <v>76</v>
      </c>
      <c r="B78" s="13"/>
      <c r="C78" s="13"/>
      <c r="D78" s="8"/>
      <c r="E78" s="8"/>
      <c r="F78" s="8"/>
      <c r="G78" s="8"/>
      <c r="H78" s="8"/>
      <c r="I78" s="10" t="s">
        <v>50</v>
      </c>
      <c r="J78" s="7"/>
      <c r="K78" s="7"/>
      <c r="L78" s="7"/>
      <c r="M78" s="7"/>
      <c r="N78" s="7"/>
      <c r="O78" s="7"/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 t="s">
        <v>199</v>
      </c>
      <c r="AD78" s="7" t="s">
        <v>38</v>
      </c>
      <c r="AE78" s="7">
        <v>0</v>
      </c>
      <c r="AF78" s="7">
        <v>0</v>
      </c>
      <c r="AG78" s="7">
        <v>0</v>
      </c>
      <c r="AH78" s="8" t="s">
        <v>43</v>
      </c>
      <c r="AI78" s="8" t="s">
        <v>40</v>
      </c>
      <c r="AJ78" s="8" t="s">
        <v>44</v>
      </c>
      <c r="AK78" s="11" t="s">
        <v>200</v>
      </c>
    </row>
    <row r="79" spans="1:37" ht="17" x14ac:dyDescent="0.2">
      <c r="A79" s="12">
        <f t="shared" si="1"/>
        <v>77</v>
      </c>
      <c r="B79" s="13"/>
      <c r="C79" s="13"/>
      <c r="D79" s="8"/>
      <c r="E79" s="8"/>
      <c r="F79" s="8"/>
      <c r="G79" s="8"/>
      <c r="H79" s="8"/>
      <c r="I79" s="7" t="s">
        <v>112</v>
      </c>
      <c r="J79" s="7"/>
      <c r="K79" s="7"/>
      <c r="L79" s="7"/>
      <c r="M79" s="7"/>
      <c r="N79" s="7"/>
      <c r="O79" s="7"/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 t="s">
        <v>201</v>
      </c>
      <c r="AD79" s="7">
        <v>0</v>
      </c>
      <c r="AE79" s="7">
        <v>0</v>
      </c>
      <c r="AF79" s="7">
        <v>0</v>
      </c>
      <c r="AG79" s="7">
        <v>0</v>
      </c>
      <c r="AH79" s="8" t="s">
        <v>43</v>
      </c>
      <c r="AI79" s="8" t="s">
        <v>40</v>
      </c>
      <c r="AJ79" s="8" t="s">
        <v>44</v>
      </c>
      <c r="AK79" s="11" t="s">
        <v>202</v>
      </c>
    </row>
    <row r="80" spans="1:37" ht="17" x14ac:dyDescent="0.2">
      <c r="A80" s="12">
        <f t="shared" si="1"/>
        <v>78</v>
      </c>
      <c r="B80" s="8"/>
      <c r="C80" s="13"/>
      <c r="D80" s="9"/>
      <c r="E80" s="8"/>
      <c r="F80" s="8"/>
      <c r="G80" s="8"/>
      <c r="H80" s="8"/>
      <c r="I80" s="7" t="s">
        <v>203</v>
      </c>
      <c r="J80" s="7"/>
      <c r="K80" s="7" t="s">
        <v>38</v>
      </c>
      <c r="L80" s="7"/>
      <c r="M80" s="7"/>
      <c r="N80" s="7"/>
      <c r="O80" s="7"/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 t="s">
        <v>38</v>
      </c>
      <c r="AE80" s="7">
        <v>0</v>
      </c>
      <c r="AF80" s="7">
        <v>0</v>
      </c>
      <c r="AG80" s="7">
        <v>0</v>
      </c>
      <c r="AH80" s="8" t="s">
        <v>204</v>
      </c>
      <c r="AI80" s="8" t="s">
        <v>40</v>
      </c>
      <c r="AJ80" s="8" t="s">
        <v>205</v>
      </c>
      <c r="AK80" s="11" t="s">
        <v>206</v>
      </c>
    </row>
    <row r="81" spans="1:37" ht="17" x14ac:dyDescent="0.2">
      <c r="A81" s="12">
        <f t="shared" si="1"/>
        <v>79</v>
      </c>
      <c r="B81" s="13"/>
      <c r="C81" s="13"/>
      <c r="D81" s="8"/>
      <c r="E81" s="8"/>
      <c r="F81" s="8"/>
      <c r="G81" s="8"/>
      <c r="H81" s="8"/>
      <c r="I81" s="7" t="s">
        <v>112</v>
      </c>
      <c r="J81" s="7"/>
      <c r="K81" s="7"/>
      <c r="L81" s="7"/>
      <c r="M81" s="7"/>
      <c r="N81" s="7"/>
      <c r="O81" s="7"/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 t="s">
        <v>207</v>
      </c>
      <c r="AD81" s="7" t="s">
        <v>38</v>
      </c>
      <c r="AE81" s="7">
        <v>0</v>
      </c>
      <c r="AF81" s="7">
        <v>0</v>
      </c>
      <c r="AG81" s="7">
        <v>0</v>
      </c>
      <c r="AH81" s="8" t="s">
        <v>208</v>
      </c>
      <c r="AI81" s="8" t="s">
        <v>56</v>
      </c>
      <c r="AJ81" s="8" t="s">
        <v>208</v>
      </c>
      <c r="AK81" s="11" t="s">
        <v>209</v>
      </c>
    </row>
    <row r="82" spans="1:37" ht="17" x14ac:dyDescent="0.2">
      <c r="A82" s="12">
        <f t="shared" si="1"/>
        <v>80</v>
      </c>
      <c r="B82" s="8"/>
      <c r="C82" s="13"/>
      <c r="D82" s="8"/>
      <c r="E82" s="8"/>
      <c r="F82" s="8"/>
      <c r="G82" s="8"/>
      <c r="H82" s="8"/>
      <c r="I82" s="10" t="s">
        <v>50</v>
      </c>
      <c r="J82" s="7" t="s">
        <v>38</v>
      </c>
      <c r="K82" s="7" t="s">
        <v>38</v>
      </c>
      <c r="L82" s="7"/>
      <c r="M82" s="7"/>
      <c r="N82" s="7"/>
      <c r="O82" s="7"/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8" t="s">
        <v>81</v>
      </c>
      <c r="AI82" s="8" t="s">
        <v>40</v>
      </c>
      <c r="AJ82" s="8" t="s">
        <v>82</v>
      </c>
      <c r="AK82" s="11" t="s">
        <v>210</v>
      </c>
    </row>
    <row r="83" spans="1:37" ht="17" x14ac:dyDescent="0.2">
      <c r="A83" s="12">
        <f t="shared" si="1"/>
        <v>81</v>
      </c>
      <c r="B83" s="8"/>
      <c r="C83" s="8"/>
      <c r="D83" s="17"/>
      <c r="E83" s="8"/>
      <c r="F83" s="8"/>
      <c r="G83" s="17"/>
      <c r="H83" s="8"/>
      <c r="I83" s="10" t="s">
        <v>112</v>
      </c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 t="s">
        <v>38</v>
      </c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8" t="s">
        <v>191</v>
      </c>
      <c r="AI83" s="8" t="s">
        <v>47</v>
      </c>
      <c r="AJ83" s="8" t="s">
        <v>211</v>
      </c>
      <c r="AK83" s="11" t="s">
        <v>212</v>
      </c>
    </row>
    <row r="84" spans="1:37" ht="17" x14ac:dyDescent="0.2">
      <c r="A84" s="12">
        <f t="shared" si="1"/>
        <v>82</v>
      </c>
      <c r="B84" s="8"/>
      <c r="C84" s="8"/>
      <c r="D84" s="8"/>
      <c r="E84" s="8"/>
      <c r="F84" s="8"/>
      <c r="G84" s="19"/>
      <c r="H84" s="8"/>
      <c r="I84" s="10" t="s">
        <v>37</v>
      </c>
      <c r="J84" s="10" t="s">
        <v>38</v>
      </c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H84" s="8" t="s">
        <v>213</v>
      </c>
      <c r="AI84" s="8" t="s">
        <v>40</v>
      </c>
      <c r="AJ84" s="1" t="s">
        <v>66</v>
      </c>
      <c r="AK84" s="11" t="s">
        <v>214</v>
      </c>
    </row>
    <row r="85" spans="1:37" ht="17" x14ac:dyDescent="0.2">
      <c r="A85" s="12">
        <f t="shared" si="1"/>
        <v>83</v>
      </c>
      <c r="B85" s="8"/>
      <c r="C85" s="8"/>
      <c r="D85" s="8"/>
      <c r="E85" s="8"/>
      <c r="F85" s="8"/>
      <c r="G85" s="17"/>
      <c r="H85" s="8"/>
      <c r="I85" s="10" t="s">
        <v>50</v>
      </c>
      <c r="J85" s="10"/>
      <c r="K85" s="10"/>
      <c r="L85" s="10"/>
      <c r="M85" s="10"/>
      <c r="N85" s="10"/>
      <c r="O85" s="10"/>
      <c r="P85" s="10"/>
      <c r="Q85" s="10"/>
      <c r="R85" s="10"/>
      <c r="S85" s="10" t="s">
        <v>38</v>
      </c>
      <c r="T85" s="10"/>
      <c r="U85" s="10"/>
      <c r="V85" s="10"/>
      <c r="W85" s="10"/>
      <c r="X85" s="10"/>
      <c r="Y85" s="10"/>
      <c r="Z85" s="10"/>
      <c r="AA85" s="10"/>
      <c r="AB85" s="10"/>
      <c r="AC85" s="10" t="s">
        <v>215</v>
      </c>
      <c r="AD85" s="10"/>
      <c r="AE85" s="10"/>
      <c r="AF85" s="10"/>
      <c r="AG85" s="10"/>
      <c r="AH85" s="8" t="s">
        <v>216</v>
      </c>
      <c r="AI85" s="8" t="s">
        <v>56</v>
      </c>
      <c r="AJ85" s="8" t="s">
        <v>216</v>
      </c>
      <c r="AK85" s="11" t="s">
        <v>217</v>
      </c>
    </row>
    <row r="86" spans="1:37" ht="17" x14ac:dyDescent="0.2">
      <c r="A86" s="12">
        <f t="shared" si="1"/>
        <v>84</v>
      </c>
      <c r="B86" s="8"/>
      <c r="C86" s="8"/>
      <c r="D86" s="8"/>
      <c r="E86" s="8"/>
      <c r="F86" s="8"/>
      <c r="G86" s="17"/>
      <c r="H86" s="8"/>
      <c r="I86" s="10" t="s">
        <v>141</v>
      </c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 t="s">
        <v>38</v>
      </c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8" t="s">
        <v>191</v>
      </c>
      <c r="AI86" s="8" t="s">
        <v>47</v>
      </c>
      <c r="AJ86" s="8" t="s">
        <v>66</v>
      </c>
      <c r="AK86" s="11" t="s">
        <v>218</v>
      </c>
    </row>
    <row r="87" spans="1:37" ht="34" x14ac:dyDescent="0.2">
      <c r="A87" s="12">
        <f t="shared" si="1"/>
        <v>85</v>
      </c>
      <c r="B87" s="8"/>
      <c r="C87" s="8"/>
      <c r="D87" s="17"/>
      <c r="E87" s="8"/>
      <c r="F87" s="8"/>
      <c r="G87" s="17"/>
      <c r="H87" s="8"/>
      <c r="I87" s="10" t="s">
        <v>112</v>
      </c>
      <c r="J87" s="10"/>
      <c r="K87" s="10"/>
      <c r="L87" s="10"/>
      <c r="M87" s="10"/>
      <c r="N87" s="10"/>
      <c r="O87" s="10"/>
      <c r="P87" s="10"/>
      <c r="Q87" s="10"/>
      <c r="R87" s="10"/>
      <c r="S87" s="10" t="s">
        <v>38</v>
      </c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8" t="s">
        <v>219</v>
      </c>
      <c r="AI87" s="8" t="s">
        <v>47</v>
      </c>
      <c r="AJ87" s="8" t="s">
        <v>220</v>
      </c>
      <c r="AK87" s="11" t="s">
        <v>221</v>
      </c>
    </row>
    <row r="88" spans="1:37" ht="51" x14ac:dyDescent="0.2">
      <c r="A88" s="12">
        <f t="shared" si="1"/>
        <v>86</v>
      </c>
      <c r="B88" s="8"/>
      <c r="C88" s="13"/>
      <c r="D88" s="8"/>
      <c r="E88" s="8"/>
      <c r="F88" s="8"/>
      <c r="G88" s="8"/>
      <c r="H88" s="8"/>
      <c r="I88" s="10" t="s">
        <v>50</v>
      </c>
      <c r="J88" s="7"/>
      <c r="K88" s="7" t="s">
        <v>38</v>
      </c>
      <c r="L88" s="7" t="s">
        <v>38</v>
      </c>
      <c r="M88" s="7" t="s">
        <v>38</v>
      </c>
      <c r="N88" s="7" t="s">
        <v>38</v>
      </c>
      <c r="O88" s="7" t="s">
        <v>38</v>
      </c>
      <c r="P88" s="7" t="s">
        <v>38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 t="s">
        <v>38</v>
      </c>
      <c r="AE88" s="7">
        <v>0</v>
      </c>
      <c r="AF88" s="7">
        <v>0</v>
      </c>
      <c r="AG88" s="7">
        <v>0</v>
      </c>
      <c r="AH88" s="8" t="s">
        <v>81</v>
      </c>
      <c r="AI88" s="8" t="s">
        <v>40</v>
      </c>
      <c r="AJ88" s="8" t="s">
        <v>82</v>
      </c>
      <c r="AK88" s="11" t="s">
        <v>222</v>
      </c>
    </row>
    <row r="89" spans="1:37" ht="17" x14ac:dyDescent="0.2">
      <c r="A89" s="12">
        <f t="shared" si="1"/>
        <v>87</v>
      </c>
      <c r="B89" s="8"/>
      <c r="C89" s="13"/>
      <c r="D89" s="8"/>
      <c r="E89" s="8"/>
      <c r="F89" s="8"/>
      <c r="G89" s="8"/>
      <c r="H89" s="8"/>
      <c r="I89" s="7" t="s">
        <v>37</v>
      </c>
      <c r="J89" s="7"/>
      <c r="K89" s="7" t="s">
        <v>38</v>
      </c>
      <c r="L89" s="7"/>
      <c r="M89" s="7" t="s">
        <v>38</v>
      </c>
      <c r="N89" s="7"/>
      <c r="O89" s="7"/>
      <c r="P89" s="7" t="s">
        <v>38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 t="s">
        <v>38</v>
      </c>
      <c r="AE89" s="7">
        <v>0</v>
      </c>
      <c r="AF89" s="7" t="s">
        <v>38</v>
      </c>
      <c r="AG89" s="7">
        <v>0</v>
      </c>
      <c r="AH89" s="8" t="s">
        <v>81</v>
      </c>
      <c r="AI89" s="8" t="s">
        <v>40</v>
      </c>
      <c r="AJ89" s="8" t="s">
        <v>82</v>
      </c>
      <c r="AK89" s="11" t="s">
        <v>223</v>
      </c>
    </row>
    <row r="90" spans="1:37" x14ac:dyDescent="0.2">
      <c r="A90" s="12">
        <f t="shared" si="1"/>
        <v>88</v>
      </c>
      <c r="B90" s="8"/>
      <c r="C90" s="13"/>
      <c r="D90" s="8"/>
      <c r="E90" s="8"/>
      <c r="F90" s="8"/>
      <c r="G90" s="8"/>
      <c r="H90" s="8"/>
      <c r="I90" s="7" t="s">
        <v>114</v>
      </c>
      <c r="J90" s="7"/>
      <c r="K90" s="7"/>
      <c r="L90" s="7"/>
      <c r="M90" s="7"/>
      <c r="N90" s="7"/>
      <c r="O90" s="7"/>
      <c r="P90" s="7">
        <v>0</v>
      </c>
      <c r="Q90" s="7" t="s">
        <v>38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 t="s">
        <v>38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8" t="s">
        <v>81</v>
      </c>
      <c r="AI90" s="8" t="s">
        <v>47</v>
      </c>
      <c r="AJ90" s="8" t="s">
        <v>82</v>
      </c>
      <c r="AK90" s="11"/>
    </row>
    <row r="91" spans="1:37" ht="17" x14ac:dyDescent="0.2">
      <c r="A91" s="12">
        <f t="shared" si="1"/>
        <v>89</v>
      </c>
      <c r="B91" s="13"/>
      <c r="C91" s="13"/>
      <c r="D91" s="8"/>
      <c r="E91" s="13"/>
      <c r="F91" s="13"/>
      <c r="G91" s="14"/>
      <c r="H91" s="8"/>
      <c r="I91" s="10" t="s">
        <v>50</v>
      </c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8" t="s">
        <v>224</v>
      </c>
      <c r="AI91" s="8"/>
      <c r="AJ91" s="8"/>
      <c r="AK91" s="11" t="s">
        <v>225</v>
      </c>
    </row>
    <row r="92" spans="1:37" x14ac:dyDescent="0.2">
      <c r="A92" s="12">
        <f t="shared" si="1"/>
        <v>90</v>
      </c>
      <c r="B92" s="8"/>
      <c r="C92" s="8"/>
      <c r="D92" s="9"/>
      <c r="E92" s="8"/>
      <c r="F92" s="8"/>
      <c r="G92" s="9"/>
      <c r="H92" s="8"/>
      <c r="I92" s="10" t="s">
        <v>37</v>
      </c>
      <c r="J92" s="10" t="s">
        <v>38</v>
      </c>
      <c r="K92" s="10" t="s">
        <v>38</v>
      </c>
      <c r="L92" s="10"/>
      <c r="M92" s="10"/>
      <c r="N92" s="10"/>
      <c r="O92" s="10"/>
      <c r="P92" s="10"/>
      <c r="Q92" s="10"/>
      <c r="R92" s="10" t="s">
        <v>38</v>
      </c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t="s">
        <v>226</v>
      </c>
      <c r="AD92" s="10" t="s">
        <v>38</v>
      </c>
      <c r="AE92" s="10"/>
      <c r="AF92" s="10" t="s">
        <v>38</v>
      </c>
      <c r="AG92" s="10"/>
      <c r="AH92" s="8" t="s">
        <v>227</v>
      </c>
      <c r="AI92" s="8" t="s">
        <v>40</v>
      </c>
      <c r="AJ92" s="8" t="s">
        <v>228</v>
      </c>
      <c r="AK92" s="11"/>
    </row>
    <row r="93" spans="1:37" ht="17" x14ac:dyDescent="0.2">
      <c r="A93" s="12">
        <f t="shared" si="1"/>
        <v>91</v>
      </c>
      <c r="B93" s="13"/>
      <c r="C93" s="13"/>
      <c r="D93" s="8"/>
      <c r="E93" s="8"/>
      <c r="F93" s="8"/>
      <c r="G93" s="8"/>
      <c r="H93" s="8"/>
      <c r="I93" s="7" t="s">
        <v>141</v>
      </c>
      <c r="J93" s="7"/>
      <c r="K93" s="7" t="s">
        <v>38</v>
      </c>
      <c r="L93" s="7"/>
      <c r="M93" s="7" t="s">
        <v>38</v>
      </c>
      <c r="N93" s="7" t="s">
        <v>38</v>
      </c>
      <c r="O93" s="7" t="s">
        <v>38</v>
      </c>
      <c r="P93" s="7" t="s">
        <v>38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 t="s">
        <v>38</v>
      </c>
      <c r="AE93" s="7">
        <v>0</v>
      </c>
      <c r="AF93" s="7" t="s">
        <v>38</v>
      </c>
      <c r="AG93" s="7">
        <v>0</v>
      </c>
      <c r="AH93" s="8" t="s">
        <v>224</v>
      </c>
      <c r="AI93" s="8" t="s">
        <v>47</v>
      </c>
      <c r="AJ93" s="8" t="s">
        <v>44</v>
      </c>
      <c r="AK93" s="11" t="s">
        <v>229</v>
      </c>
    </row>
    <row r="94" spans="1:37" ht="34" x14ac:dyDescent="0.2">
      <c r="A94" s="12">
        <f t="shared" si="1"/>
        <v>92</v>
      </c>
      <c r="B94" s="8"/>
      <c r="C94" s="27"/>
      <c r="D94" s="8"/>
      <c r="E94" s="8"/>
      <c r="F94" s="8"/>
      <c r="G94" s="17"/>
      <c r="H94" s="8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 t="s">
        <v>38</v>
      </c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8" t="s">
        <v>230</v>
      </c>
      <c r="AI94" s="8"/>
      <c r="AJ94" s="8"/>
      <c r="AK94" s="11" t="s">
        <v>231</v>
      </c>
    </row>
    <row r="95" spans="1:37" ht="17" x14ac:dyDescent="0.2">
      <c r="A95" s="12">
        <f t="shared" si="1"/>
        <v>93</v>
      </c>
      <c r="B95" s="13"/>
      <c r="C95" s="13"/>
      <c r="D95" s="8"/>
      <c r="E95" s="8"/>
      <c r="F95" s="8"/>
      <c r="G95" s="8"/>
      <c r="H95" s="8"/>
      <c r="I95" s="10" t="s">
        <v>50</v>
      </c>
      <c r="J95" s="7"/>
      <c r="K95" s="7"/>
      <c r="L95" s="7"/>
      <c r="M95" s="7"/>
      <c r="N95" s="7"/>
      <c r="O95" s="7"/>
      <c r="P95" s="7">
        <v>0</v>
      </c>
      <c r="Q95" s="7" t="s">
        <v>38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 t="s">
        <v>232</v>
      </c>
      <c r="AD95" s="7" t="s">
        <v>38</v>
      </c>
      <c r="AE95" s="7">
        <v>0</v>
      </c>
      <c r="AF95" s="7">
        <v>0</v>
      </c>
      <c r="AG95" s="7">
        <v>0</v>
      </c>
      <c r="AH95" s="8" t="s">
        <v>135</v>
      </c>
      <c r="AI95" s="8" t="s">
        <v>40</v>
      </c>
      <c r="AJ95" s="8" t="s">
        <v>135</v>
      </c>
      <c r="AK95" s="11" t="s">
        <v>233</v>
      </c>
    </row>
    <row r="96" spans="1:37" ht="17" x14ac:dyDescent="0.2">
      <c r="A96" s="12">
        <f t="shared" si="1"/>
        <v>94</v>
      </c>
      <c r="B96" s="8"/>
      <c r="C96" s="13"/>
      <c r="D96" s="8"/>
      <c r="E96" s="8"/>
      <c r="F96" s="8"/>
      <c r="G96" s="8"/>
      <c r="H96" s="8"/>
      <c r="I96" s="7" t="s">
        <v>50</v>
      </c>
      <c r="J96" s="7"/>
      <c r="K96" s="7" t="s">
        <v>38</v>
      </c>
      <c r="L96" s="7"/>
      <c r="M96" s="7"/>
      <c r="N96" s="7" t="s">
        <v>38</v>
      </c>
      <c r="O96" s="7"/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 t="s">
        <v>234</v>
      </c>
      <c r="AD96" s="7" t="s">
        <v>38</v>
      </c>
      <c r="AE96" s="7">
        <v>0</v>
      </c>
      <c r="AF96" s="7">
        <v>0</v>
      </c>
      <c r="AG96" s="7" t="s">
        <v>38</v>
      </c>
      <c r="AH96" s="8" t="s">
        <v>77</v>
      </c>
      <c r="AI96" s="8" t="s">
        <v>40</v>
      </c>
      <c r="AJ96" s="8" t="s">
        <v>82</v>
      </c>
      <c r="AK96" s="11" t="s">
        <v>235</v>
      </c>
    </row>
    <row r="97" spans="1:37" ht="17" x14ac:dyDescent="0.2">
      <c r="A97" s="12">
        <f t="shared" si="1"/>
        <v>95</v>
      </c>
      <c r="B97" s="8"/>
      <c r="C97" s="13"/>
      <c r="D97" s="8"/>
      <c r="E97" s="8"/>
      <c r="F97" s="8"/>
      <c r="G97" s="8"/>
      <c r="H97" s="8"/>
      <c r="I97" s="7" t="s">
        <v>37</v>
      </c>
      <c r="J97" s="7"/>
      <c r="K97" s="7" t="s">
        <v>38</v>
      </c>
      <c r="L97" s="7"/>
      <c r="M97" s="7" t="s">
        <v>38</v>
      </c>
      <c r="N97" s="7" t="s">
        <v>38</v>
      </c>
      <c r="O97" s="7"/>
      <c r="P97" s="7" t="s">
        <v>38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 t="s">
        <v>38</v>
      </c>
      <c r="AE97" s="7">
        <v>0</v>
      </c>
      <c r="AF97" s="7" t="s">
        <v>38</v>
      </c>
      <c r="AG97" s="7">
        <v>0</v>
      </c>
      <c r="AH97" s="8" t="s">
        <v>236</v>
      </c>
      <c r="AI97" s="8" t="s">
        <v>40</v>
      </c>
      <c r="AJ97" s="8" t="s">
        <v>236</v>
      </c>
      <c r="AK97" s="11" t="s">
        <v>237</v>
      </c>
    </row>
    <row r="98" spans="1:37" x14ac:dyDescent="0.2">
      <c r="A98" s="12">
        <f t="shared" si="1"/>
        <v>96</v>
      </c>
      <c r="B98" s="8"/>
      <c r="C98" s="8"/>
      <c r="D98" s="17"/>
      <c r="E98" s="8"/>
      <c r="F98" s="8"/>
      <c r="G98" s="14"/>
      <c r="H98" s="8"/>
      <c r="I98" s="10" t="s">
        <v>112</v>
      </c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 t="s">
        <v>238</v>
      </c>
      <c r="AD98" s="10"/>
      <c r="AE98" s="10"/>
      <c r="AF98" s="10"/>
      <c r="AG98" s="10"/>
      <c r="AH98" s="8" t="s">
        <v>43</v>
      </c>
      <c r="AI98" s="8" t="s">
        <v>56</v>
      </c>
      <c r="AJ98" s="8" t="s">
        <v>44</v>
      </c>
      <c r="AK98" s="11"/>
    </row>
    <row r="99" spans="1:37" ht="17" x14ac:dyDescent="0.2">
      <c r="A99" s="12">
        <f t="shared" si="1"/>
        <v>97</v>
      </c>
      <c r="B99" s="13"/>
      <c r="C99" s="13"/>
      <c r="D99" s="8"/>
      <c r="E99" s="8"/>
      <c r="F99" s="8"/>
      <c r="G99" s="8"/>
      <c r="H99" s="8"/>
      <c r="I99" s="7" t="s">
        <v>114</v>
      </c>
      <c r="J99" s="7"/>
      <c r="K99" s="7" t="s">
        <v>38</v>
      </c>
      <c r="L99" s="7"/>
      <c r="M99" s="7" t="s">
        <v>38</v>
      </c>
      <c r="N99" s="7" t="s">
        <v>38</v>
      </c>
      <c r="O99" s="7"/>
      <c r="P99" s="7" t="s">
        <v>38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 t="s">
        <v>38</v>
      </c>
      <c r="AG99" s="7" t="s">
        <v>38</v>
      </c>
      <c r="AH99" s="8" t="s">
        <v>66</v>
      </c>
      <c r="AI99" s="8" t="s">
        <v>47</v>
      </c>
      <c r="AJ99" s="8" t="s">
        <v>66</v>
      </c>
      <c r="AK99" s="11" t="s">
        <v>239</v>
      </c>
    </row>
    <row r="100" spans="1:37" x14ac:dyDescent="0.2">
      <c r="A100" s="12">
        <f t="shared" si="1"/>
        <v>98</v>
      </c>
      <c r="B100" s="8"/>
      <c r="C100" s="8"/>
      <c r="D100" s="8"/>
      <c r="E100" s="8"/>
      <c r="F100" s="8"/>
      <c r="G100" s="9"/>
      <c r="H100" s="8"/>
      <c r="I100" s="10" t="s">
        <v>37</v>
      </c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8" t="s">
        <v>97</v>
      </c>
      <c r="AI100" s="8"/>
      <c r="AJ100" s="8"/>
      <c r="AK100" s="11"/>
    </row>
    <row r="101" spans="1:37" ht="17" x14ac:dyDescent="0.2">
      <c r="A101" s="12">
        <f t="shared" si="1"/>
        <v>99</v>
      </c>
      <c r="B101" s="13"/>
      <c r="C101" s="13"/>
      <c r="D101" s="8"/>
      <c r="E101" s="8"/>
      <c r="F101" s="8"/>
      <c r="G101" s="8"/>
      <c r="H101" s="8"/>
      <c r="I101" s="7" t="s">
        <v>112</v>
      </c>
      <c r="J101" s="7"/>
      <c r="K101" s="7"/>
      <c r="L101" s="7"/>
      <c r="M101" s="7"/>
      <c r="N101" s="7"/>
      <c r="O101" s="7"/>
      <c r="P101" s="7">
        <v>0</v>
      </c>
      <c r="Q101" s="7" t="s">
        <v>38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 t="s">
        <v>38</v>
      </c>
      <c r="AE101" s="7" t="s">
        <v>38</v>
      </c>
      <c r="AF101" s="7">
        <v>0</v>
      </c>
      <c r="AG101" s="7">
        <v>0</v>
      </c>
      <c r="AH101" s="8" t="s">
        <v>240</v>
      </c>
      <c r="AI101" s="8" t="s">
        <v>56</v>
      </c>
      <c r="AJ101" s="8" t="s">
        <v>44</v>
      </c>
      <c r="AK101" s="11" t="s">
        <v>241</v>
      </c>
    </row>
    <row r="102" spans="1:37" ht="34" x14ac:dyDescent="0.2">
      <c r="A102" s="12">
        <f t="shared" si="1"/>
        <v>100</v>
      </c>
      <c r="B102" s="8"/>
      <c r="C102" s="8"/>
      <c r="D102" s="8"/>
      <c r="E102" s="11"/>
      <c r="F102" s="11"/>
      <c r="G102" s="19"/>
      <c r="H102" s="8"/>
      <c r="I102" s="10" t="s">
        <v>50</v>
      </c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 t="s">
        <v>38</v>
      </c>
      <c r="Y102" s="10"/>
      <c r="Z102" s="10"/>
      <c r="AA102" s="10"/>
      <c r="AB102" s="10"/>
      <c r="AC102" s="10"/>
      <c r="AD102" s="10"/>
      <c r="AE102" s="10"/>
      <c r="AF102" s="10"/>
      <c r="AG102" s="10"/>
      <c r="AH102" s="8" t="s">
        <v>81</v>
      </c>
      <c r="AI102" s="8"/>
      <c r="AJ102" s="8" t="s">
        <v>82</v>
      </c>
      <c r="AK102" s="11" t="s">
        <v>242</v>
      </c>
    </row>
    <row r="103" spans="1:37" ht="17" x14ac:dyDescent="0.2">
      <c r="A103" s="12">
        <f t="shared" si="1"/>
        <v>101</v>
      </c>
      <c r="B103" s="13"/>
      <c r="C103" s="13"/>
      <c r="D103" s="8"/>
      <c r="E103" s="13"/>
      <c r="F103" s="13"/>
      <c r="G103" s="14"/>
      <c r="H103" s="8"/>
      <c r="I103" s="10" t="s">
        <v>50</v>
      </c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8" t="s">
        <v>178</v>
      </c>
      <c r="AI103" s="8"/>
      <c r="AJ103" s="8"/>
      <c r="AK103" s="11" t="s">
        <v>243</v>
      </c>
    </row>
    <row r="104" spans="1:37" x14ac:dyDescent="0.2">
      <c r="A104" s="12">
        <f t="shared" si="1"/>
        <v>102</v>
      </c>
      <c r="B104" s="8"/>
      <c r="C104" s="13"/>
      <c r="D104" s="8"/>
      <c r="E104" s="8"/>
      <c r="F104" s="8"/>
      <c r="G104" s="11"/>
      <c r="H104" s="8"/>
      <c r="I104" s="7" t="s">
        <v>37</v>
      </c>
      <c r="J104" s="7" t="s">
        <v>38</v>
      </c>
      <c r="K104" s="7" t="s">
        <v>38</v>
      </c>
      <c r="L104" s="7"/>
      <c r="M104" s="7" t="s">
        <v>38</v>
      </c>
      <c r="N104" s="7"/>
      <c r="O104" s="7" t="s">
        <v>38</v>
      </c>
      <c r="P104" s="7" t="s">
        <v>38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 t="s">
        <v>38</v>
      </c>
      <c r="AE104" s="7">
        <v>0</v>
      </c>
      <c r="AF104" s="7" t="s">
        <v>38</v>
      </c>
      <c r="AG104" s="7">
        <v>0</v>
      </c>
      <c r="AH104" s="8" t="s">
        <v>66</v>
      </c>
      <c r="AI104" s="8" t="s">
        <v>56</v>
      </c>
      <c r="AJ104" s="8" t="s">
        <v>66</v>
      </c>
      <c r="AK104" s="11"/>
    </row>
    <row r="105" spans="1:37" ht="17" x14ac:dyDescent="0.2">
      <c r="A105" s="12">
        <f t="shared" si="1"/>
        <v>103</v>
      </c>
      <c r="B105" s="13"/>
      <c r="C105" s="13"/>
      <c r="D105" s="8"/>
      <c r="E105" s="8"/>
      <c r="F105" s="8"/>
      <c r="G105" s="8"/>
      <c r="H105" s="8"/>
      <c r="I105" s="7" t="s">
        <v>112</v>
      </c>
      <c r="J105" s="7" t="s">
        <v>38</v>
      </c>
      <c r="K105" s="7" t="s">
        <v>38</v>
      </c>
      <c r="L105" s="7"/>
      <c r="M105" s="7" t="s">
        <v>38</v>
      </c>
      <c r="N105" s="7" t="s">
        <v>38</v>
      </c>
      <c r="O105" s="7" t="s">
        <v>38</v>
      </c>
      <c r="P105" s="7" t="s">
        <v>38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 t="s">
        <v>38</v>
      </c>
      <c r="Y105" s="7">
        <v>0</v>
      </c>
      <c r="Z105" s="7">
        <v>0</v>
      </c>
      <c r="AA105" s="7">
        <v>0</v>
      </c>
      <c r="AB105" s="7" t="s">
        <v>38</v>
      </c>
      <c r="AC105" s="7">
        <v>0</v>
      </c>
      <c r="AD105" s="7" t="s">
        <v>38</v>
      </c>
      <c r="AE105" s="7" t="s">
        <v>38</v>
      </c>
      <c r="AF105" s="7">
        <v>0</v>
      </c>
      <c r="AG105" s="7" t="s">
        <v>38</v>
      </c>
      <c r="AH105" s="8" t="s">
        <v>240</v>
      </c>
      <c r="AI105" s="8" t="s">
        <v>47</v>
      </c>
      <c r="AJ105" s="8" t="s">
        <v>244</v>
      </c>
      <c r="AK105" s="11" t="s">
        <v>245</v>
      </c>
    </row>
    <row r="106" spans="1:37" ht="17" x14ac:dyDescent="0.2">
      <c r="A106" s="12">
        <f t="shared" si="1"/>
        <v>104</v>
      </c>
      <c r="B106" s="8"/>
      <c r="C106" s="8"/>
      <c r="D106" s="8"/>
      <c r="E106" s="8"/>
      <c r="F106" s="8"/>
      <c r="G106" s="9"/>
      <c r="H106" s="8"/>
      <c r="I106" s="10" t="s">
        <v>50</v>
      </c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8" t="s">
        <v>213</v>
      </c>
      <c r="AI106" s="8"/>
      <c r="AJ106" s="8"/>
      <c r="AK106" s="11" t="s">
        <v>246</v>
      </c>
    </row>
    <row r="107" spans="1:37" ht="85" x14ac:dyDescent="0.2">
      <c r="A107" s="12">
        <f t="shared" si="1"/>
        <v>105</v>
      </c>
      <c r="B107" s="8"/>
      <c r="C107" s="13"/>
      <c r="D107" s="9"/>
      <c r="E107" s="8"/>
      <c r="F107" s="8"/>
      <c r="G107" s="8"/>
      <c r="H107" s="8"/>
      <c r="I107" s="7" t="s">
        <v>37</v>
      </c>
      <c r="J107" s="7" t="s">
        <v>38</v>
      </c>
      <c r="K107" s="7"/>
      <c r="L107" s="7"/>
      <c r="M107" s="7" t="s">
        <v>38</v>
      </c>
      <c r="N107" s="7" t="s">
        <v>38</v>
      </c>
      <c r="O107" s="7" t="s">
        <v>38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 t="s">
        <v>38</v>
      </c>
      <c r="AE107" s="7">
        <v>0</v>
      </c>
      <c r="AF107" s="7" t="s">
        <v>38</v>
      </c>
      <c r="AG107" s="7">
        <v>0</v>
      </c>
      <c r="AH107" s="8" t="s">
        <v>66</v>
      </c>
      <c r="AI107" s="8" t="s">
        <v>40</v>
      </c>
      <c r="AJ107" s="8" t="s">
        <v>66</v>
      </c>
      <c r="AK107" s="11" t="s">
        <v>247</v>
      </c>
    </row>
    <row r="108" spans="1:37" ht="17" x14ac:dyDescent="0.2">
      <c r="A108" s="12">
        <f t="shared" si="1"/>
        <v>106</v>
      </c>
      <c r="B108" s="8"/>
      <c r="C108" s="8"/>
      <c r="D108" s="8"/>
      <c r="E108" s="8"/>
      <c r="F108" s="8"/>
      <c r="G108" s="17"/>
      <c r="H108" s="8"/>
      <c r="I108" s="10" t="s">
        <v>141</v>
      </c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 t="s">
        <v>38</v>
      </c>
      <c r="AE108" s="10" t="s">
        <v>38</v>
      </c>
      <c r="AF108" s="10" t="s">
        <v>38</v>
      </c>
      <c r="AG108" s="10"/>
      <c r="AH108" s="8" t="s">
        <v>248</v>
      </c>
      <c r="AI108" s="8" t="s">
        <v>47</v>
      </c>
      <c r="AJ108" s="8" t="s">
        <v>75</v>
      </c>
      <c r="AK108" s="11" t="s">
        <v>249</v>
      </c>
    </row>
    <row r="109" spans="1:37" ht="17" x14ac:dyDescent="0.2">
      <c r="A109" s="12">
        <f t="shared" si="1"/>
        <v>107</v>
      </c>
      <c r="B109" s="8"/>
      <c r="C109" s="13"/>
      <c r="D109" s="9"/>
      <c r="E109" s="8"/>
      <c r="F109" s="8"/>
      <c r="G109" s="19"/>
      <c r="H109" s="8"/>
      <c r="I109" s="10" t="s">
        <v>141</v>
      </c>
      <c r="J109" s="10" t="s">
        <v>38</v>
      </c>
      <c r="K109" s="10" t="s">
        <v>38</v>
      </c>
      <c r="L109" s="10" t="s">
        <v>38</v>
      </c>
      <c r="M109" s="10" t="s">
        <v>38</v>
      </c>
      <c r="N109" s="10" t="s">
        <v>38</v>
      </c>
      <c r="O109" s="10" t="s">
        <v>38</v>
      </c>
      <c r="P109" s="10" t="s">
        <v>38</v>
      </c>
      <c r="Q109" s="10" t="s">
        <v>38</v>
      </c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 t="s">
        <v>38</v>
      </c>
      <c r="AE109" s="10" t="s">
        <v>38</v>
      </c>
      <c r="AF109" s="10" t="s">
        <v>38</v>
      </c>
      <c r="AG109" s="10"/>
      <c r="AH109" s="8" t="s">
        <v>82</v>
      </c>
      <c r="AI109" s="8" t="s">
        <v>47</v>
      </c>
      <c r="AJ109" s="8" t="s">
        <v>66</v>
      </c>
      <c r="AK109" s="11" t="s">
        <v>250</v>
      </c>
    </row>
    <row r="110" spans="1:37" s="32" customFormat="1" ht="17" x14ac:dyDescent="0.2">
      <c r="A110" s="29">
        <f t="shared" si="1"/>
        <v>108</v>
      </c>
      <c r="B110" s="27"/>
      <c r="C110" s="27"/>
      <c r="D110" s="30"/>
      <c r="E110" s="27"/>
      <c r="F110" s="27"/>
      <c r="G110" s="30"/>
      <c r="H110" s="27"/>
      <c r="I110" s="28"/>
      <c r="J110" s="28" t="s">
        <v>38</v>
      </c>
      <c r="K110" s="28" t="s">
        <v>38</v>
      </c>
      <c r="L110" s="28"/>
      <c r="M110" s="28" t="s">
        <v>38</v>
      </c>
      <c r="N110" s="28" t="s">
        <v>38</v>
      </c>
      <c r="O110" s="28"/>
      <c r="P110" s="28"/>
      <c r="Q110" s="28"/>
      <c r="R110" s="28"/>
      <c r="S110" s="28"/>
      <c r="T110" s="28" t="s">
        <v>38</v>
      </c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7" t="s">
        <v>191</v>
      </c>
      <c r="AI110" s="27" t="s">
        <v>47</v>
      </c>
      <c r="AJ110" s="27" t="s">
        <v>204</v>
      </c>
      <c r="AK110" s="31" t="s">
        <v>251</v>
      </c>
    </row>
    <row r="111" spans="1:37" ht="17" x14ac:dyDescent="0.2">
      <c r="A111" s="12">
        <f t="shared" si="1"/>
        <v>109</v>
      </c>
      <c r="B111" s="8"/>
      <c r="C111" s="13"/>
      <c r="D111" s="8"/>
      <c r="E111" s="8"/>
      <c r="F111" s="8"/>
      <c r="G111" s="8"/>
      <c r="H111" s="8"/>
      <c r="I111" s="7" t="s">
        <v>37</v>
      </c>
      <c r="J111" s="7"/>
      <c r="K111" s="7" t="s">
        <v>38</v>
      </c>
      <c r="L111" s="7"/>
      <c r="M111" s="7" t="s">
        <v>38</v>
      </c>
      <c r="N111" s="7" t="s">
        <v>38</v>
      </c>
      <c r="O111" s="7"/>
      <c r="P111" s="7" t="s">
        <v>38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8" t="s">
        <v>81</v>
      </c>
      <c r="AI111" s="8" t="s">
        <v>40</v>
      </c>
      <c r="AJ111" s="8" t="s">
        <v>82</v>
      </c>
      <c r="AK111" s="11" t="s">
        <v>252</v>
      </c>
    </row>
    <row r="112" spans="1:37" ht="17" x14ac:dyDescent="0.2">
      <c r="A112" s="12">
        <f t="shared" si="1"/>
        <v>110</v>
      </c>
      <c r="B112" s="8"/>
      <c r="C112" s="13"/>
      <c r="D112" s="8"/>
      <c r="E112" s="8"/>
      <c r="F112" s="8"/>
      <c r="G112" s="8"/>
      <c r="H112" s="8"/>
      <c r="I112" s="7" t="s">
        <v>37</v>
      </c>
      <c r="J112" s="7" t="s">
        <v>38</v>
      </c>
      <c r="K112" s="7" t="s">
        <v>38</v>
      </c>
      <c r="L112" s="7"/>
      <c r="M112" s="7" t="s">
        <v>38</v>
      </c>
      <c r="N112" s="7" t="s">
        <v>38</v>
      </c>
      <c r="O112" s="7" t="s">
        <v>38</v>
      </c>
      <c r="P112" s="7" t="s">
        <v>38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 t="s">
        <v>38</v>
      </c>
      <c r="AE112" s="7">
        <v>0</v>
      </c>
      <c r="AF112" s="7">
        <v>0</v>
      </c>
      <c r="AG112" s="7" t="s">
        <v>38</v>
      </c>
      <c r="AH112" s="8" t="s">
        <v>82</v>
      </c>
      <c r="AI112" s="8" t="s">
        <v>40</v>
      </c>
      <c r="AJ112" s="8" t="s">
        <v>82</v>
      </c>
      <c r="AK112" s="11" t="s">
        <v>253</v>
      </c>
    </row>
    <row r="113" spans="1:37" ht="17" x14ac:dyDescent="0.2">
      <c r="A113" s="12">
        <f t="shared" si="1"/>
        <v>111</v>
      </c>
      <c r="B113" s="13"/>
      <c r="C113" s="13"/>
      <c r="D113" s="8"/>
      <c r="E113" s="13"/>
      <c r="F113" s="13"/>
      <c r="G113" s="14"/>
      <c r="H113" s="8"/>
      <c r="I113" s="16" t="s">
        <v>112</v>
      </c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8" t="s">
        <v>254</v>
      </c>
      <c r="AI113" s="8"/>
      <c r="AJ113" s="8"/>
      <c r="AK113" s="11" t="s">
        <v>255</v>
      </c>
    </row>
    <row r="114" spans="1:37" s="32" customFormat="1" ht="17" x14ac:dyDescent="0.2">
      <c r="A114" s="29">
        <f t="shared" si="1"/>
        <v>112</v>
      </c>
      <c r="B114" s="27"/>
      <c r="C114" s="27"/>
      <c r="D114" s="27"/>
      <c r="E114" s="27"/>
      <c r="F114" s="27"/>
      <c r="G114" s="27"/>
      <c r="H114" s="27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7" t="s">
        <v>77</v>
      </c>
      <c r="AI114" s="27"/>
      <c r="AJ114" s="27"/>
      <c r="AK114" s="31" t="s">
        <v>256</v>
      </c>
    </row>
    <row r="115" spans="1:37" s="32" customFormat="1" x14ac:dyDescent="0.2">
      <c r="A115" s="29">
        <f t="shared" si="1"/>
        <v>113</v>
      </c>
      <c r="B115" s="27"/>
      <c r="C115" s="27"/>
      <c r="D115" s="27"/>
      <c r="E115" s="27"/>
      <c r="F115" s="27"/>
      <c r="G115" s="27"/>
      <c r="H115" s="27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7" t="s">
        <v>257</v>
      </c>
      <c r="AI115" s="27"/>
      <c r="AJ115" s="27"/>
      <c r="AK115" s="31"/>
    </row>
    <row r="116" spans="1:37" ht="17" x14ac:dyDescent="0.2">
      <c r="A116" s="12">
        <f t="shared" si="1"/>
        <v>114</v>
      </c>
      <c r="B116" s="8"/>
      <c r="C116" s="13"/>
      <c r="D116" s="8"/>
      <c r="E116" s="8"/>
      <c r="F116" s="8"/>
      <c r="G116" s="8"/>
      <c r="H116" s="8"/>
      <c r="I116" s="7" t="s">
        <v>114</v>
      </c>
      <c r="J116" s="7"/>
      <c r="K116" s="7" t="s">
        <v>38</v>
      </c>
      <c r="L116" s="7"/>
      <c r="M116" s="7" t="s">
        <v>38</v>
      </c>
      <c r="N116" s="7" t="s">
        <v>38</v>
      </c>
      <c r="O116" s="7" t="s">
        <v>38</v>
      </c>
      <c r="P116" s="7" t="s">
        <v>38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 t="s">
        <v>38</v>
      </c>
      <c r="AE116" s="7" t="s">
        <v>38</v>
      </c>
      <c r="AF116" s="7">
        <v>0</v>
      </c>
      <c r="AG116" s="7" t="s">
        <v>38</v>
      </c>
      <c r="AH116" s="8" t="s">
        <v>77</v>
      </c>
      <c r="AI116" s="8" t="s">
        <v>40</v>
      </c>
      <c r="AJ116" s="8" t="s">
        <v>82</v>
      </c>
      <c r="AK116" s="11" t="s">
        <v>258</v>
      </c>
    </row>
    <row r="117" spans="1:37" s="32" customFormat="1" ht="68" x14ac:dyDescent="0.2">
      <c r="A117" s="29">
        <f t="shared" si="1"/>
        <v>115</v>
      </c>
      <c r="B117" s="27"/>
      <c r="C117" s="33"/>
      <c r="D117" s="27"/>
      <c r="E117" s="27"/>
      <c r="F117" s="27"/>
      <c r="G117" s="27"/>
      <c r="H117" s="27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7" t="s">
        <v>81</v>
      </c>
      <c r="AI117" s="27"/>
      <c r="AJ117" s="27" t="s">
        <v>82</v>
      </c>
      <c r="AK117" s="31" t="s">
        <v>259</v>
      </c>
    </row>
    <row r="118" spans="1:37" s="32" customFormat="1" ht="17" x14ac:dyDescent="0.2">
      <c r="A118" s="29">
        <f t="shared" si="1"/>
        <v>116</v>
      </c>
      <c r="B118" s="27"/>
      <c r="C118" s="27"/>
      <c r="D118" s="27"/>
      <c r="E118" s="27"/>
      <c r="F118" s="27"/>
      <c r="G118" s="27"/>
      <c r="H118" s="27"/>
      <c r="I118" s="28" t="s">
        <v>50</v>
      </c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7" t="s">
        <v>66</v>
      </c>
      <c r="AI118" s="27"/>
      <c r="AJ118" s="27" t="s">
        <v>66</v>
      </c>
      <c r="AK118" s="31" t="s">
        <v>260</v>
      </c>
    </row>
    <row r="119" spans="1:37" ht="17" x14ac:dyDescent="0.2">
      <c r="A119" s="12">
        <f t="shared" si="1"/>
        <v>117</v>
      </c>
      <c r="B119" s="8"/>
      <c r="C119" s="13"/>
      <c r="D119" s="8"/>
      <c r="E119" s="8"/>
      <c r="F119" s="8"/>
      <c r="G119" s="8"/>
      <c r="H119" s="8"/>
      <c r="I119" s="10" t="s">
        <v>50</v>
      </c>
      <c r="J119" s="7" t="s">
        <v>38</v>
      </c>
      <c r="K119" s="7" t="s">
        <v>38</v>
      </c>
      <c r="L119" s="7"/>
      <c r="M119" s="7" t="s">
        <v>38</v>
      </c>
      <c r="N119" s="7" t="s">
        <v>38</v>
      </c>
      <c r="O119" s="7" t="s">
        <v>38</v>
      </c>
      <c r="P119" s="7" t="s">
        <v>38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 t="s">
        <v>38</v>
      </c>
      <c r="AE119" s="7" t="s">
        <v>38</v>
      </c>
      <c r="AF119" s="7">
        <v>0</v>
      </c>
      <c r="AG119" s="7">
        <v>0</v>
      </c>
      <c r="AH119" s="8" t="s">
        <v>261</v>
      </c>
      <c r="AI119" s="8" t="s">
        <v>40</v>
      </c>
      <c r="AJ119" s="8" t="s">
        <v>82</v>
      </c>
      <c r="AK119" s="11" t="s">
        <v>262</v>
      </c>
    </row>
    <row r="120" spans="1:37" ht="17" x14ac:dyDescent="0.2">
      <c r="A120" s="12">
        <f t="shared" si="1"/>
        <v>118</v>
      </c>
      <c r="B120" s="8"/>
      <c r="C120" s="8"/>
      <c r="D120" s="8"/>
      <c r="E120" s="8"/>
      <c r="F120" s="8"/>
      <c r="G120" s="9"/>
      <c r="H120" s="8"/>
      <c r="I120" s="10" t="s">
        <v>50</v>
      </c>
      <c r="J120" s="10"/>
      <c r="K120" s="10"/>
      <c r="L120" s="10"/>
      <c r="M120" s="10"/>
      <c r="N120" s="10"/>
      <c r="O120" s="10"/>
      <c r="P120" s="10"/>
      <c r="Q120" s="10"/>
      <c r="R120" s="10"/>
      <c r="S120" s="10" t="s">
        <v>38</v>
      </c>
      <c r="T120" s="10" t="s">
        <v>38</v>
      </c>
      <c r="U120" s="10"/>
      <c r="V120" s="10" t="s">
        <v>38</v>
      </c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8" t="s">
        <v>191</v>
      </c>
      <c r="AI120" s="8"/>
      <c r="AJ120" s="8"/>
      <c r="AK120" s="11" t="s">
        <v>263</v>
      </c>
    </row>
    <row r="121" spans="1:37" x14ac:dyDescent="0.2">
      <c r="A121" s="12">
        <f t="shared" si="1"/>
        <v>119</v>
      </c>
      <c r="B121" s="8"/>
      <c r="C121" s="13"/>
      <c r="D121" s="8"/>
      <c r="E121" s="8"/>
      <c r="F121" s="8"/>
      <c r="G121" s="8"/>
      <c r="H121" s="8"/>
      <c r="I121" s="7" t="s">
        <v>114</v>
      </c>
      <c r="J121" s="7" t="s">
        <v>38</v>
      </c>
      <c r="K121" s="7" t="s">
        <v>38</v>
      </c>
      <c r="L121" s="7"/>
      <c r="M121" s="7" t="s">
        <v>38</v>
      </c>
      <c r="N121" s="7" t="s">
        <v>38</v>
      </c>
      <c r="O121" s="7" t="s">
        <v>38</v>
      </c>
      <c r="P121" s="7" t="s">
        <v>38</v>
      </c>
      <c r="Q121" s="7">
        <v>0</v>
      </c>
      <c r="R121" s="7" t="s">
        <v>38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 t="s">
        <v>38</v>
      </c>
      <c r="AE121" s="7">
        <v>0</v>
      </c>
      <c r="AF121" s="7">
        <v>0</v>
      </c>
      <c r="AG121" s="7" t="s">
        <v>38</v>
      </c>
      <c r="AH121" s="8" t="s">
        <v>81</v>
      </c>
      <c r="AI121" s="8" t="s">
        <v>47</v>
      </c>
      <c r="AJ121" s="8" t="s">
        <v>82</v>
      </c>
      <c r="AK121" s="11"/>
    </row>
    <row r="122" spans="1:37" ht="136" x14ac:dyDescent="0.2">
      <c r="A122" s="12">
        <f t="shared" si="1"/>
        <v>120</v>
      </c>
      <c r="B122" s="8"/>
      <c r="C122" s="13"/>
      <c r="D122" s="8"/>
      <c r="E122" s="8"/>
      <c r="F122" s="8"/>
      <c r="G122" s="8"/>
      <c r="H122" s="8"/>
      <c r="I122" s="10" t="s">
        <v>50</v>
      </c>
      <c r="J122" s="7"/>
      <c r="K122" s="7" t="s">
        <v>38</v>
      </c>
      <c r="L122" s="7"/>
      <c r="M122" s="7" t="s">
        <v>38</v>
      </c>
      <c r="N122" s="7" t="s">
        <v>38</v>
      </c>
      <c r="O122" s="7" t="s">
        <v>38</v>
      </c>
      <c r="P122" s="7" t="s">
        <v>38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 t="s">
        <v>38</v>
      </c>
      <c r="AE122" s="7">
        <v>0</v>
      </c>
      <c r="AF122" s="7">
        <v>0</v>
      </c>
      <c r="AG122" s="7" t="s">
        <v>38</v>
      </c>
      <c r="AH122" s="8" t="s">
        <v>264</v>
      </c>
      <c r="AI122" s="8" t="s">
        <v>40</v>
      </c>
      <c r="AJ122" s="8" t="s">
        <v>90</v>
      </c>
      <c r="AK122" s="11" t="s">
        <v>265</v>
      </c>
    </row>
    <row r="123" spans="1:37" ht="34" x14ac:dyDescent="0.2">
      <c r="A123" s="12">
        <f t="shared" si="1"/>
        <v>121</v>
      </c>
      <c r="B123" s="8"/>
      <c r="C123" s="13"/>
      <c r="D123" s="8"/>
      <c r="E123" s="8"/>
      <c r="F123" s="8"/>
      <c r="G123" s="8"/>
      <c r="H123" s="8"/>
      <c r="I123" s="7" t="s">
        <v>127</v>
      </c>
      <c r="J123" s="7" t="s">
        <v>38</v>
      </c>
      <c r="K123" s="7" t="s">
        <v>38</v>
      </c>
      <c r="L123" s="7"/>
      <c r="M123" s="7" t="s">
        <v>38</v>
      </c>
      <c r="N123" s="7" t="s">
        <v>38</v>
      </c>
      <c r="O123" s="7" t="s">
        <v>38</v>
      </c>
      <c r="P123" s="7" t="s">
        <v>38</v>
      </c>
      <c r="Q123" s="7">
        <v>0</v>
      </c>
      <c r="R123" s="7" t="s">
        <v>38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 t="s">
        <v>38</v>
      </c>
      <c r="AE123" s="7" t="s">
        <v>38</v>
      </c>
      <c r="AF123" s="7">
        <v>0</v>
      </c>
      <c r="AG123" s="7">
        <v>0</v>
      </c>
      <c r="AH123" s="8" t="s">
        <v>266</v>
      </c>
      <c r="AI123" s="8" t="s">
        <v>47</v>
      </c>
      <c r="AJ123" s="8" t="s">
        <v>44</v>
      </c>
      <c r="AK123" s="11" t="s">
        <v>267</v>
      </c>
    </row>
    <row r="124" spans="1:37" ht="51" x14ac:dyDescent="0.2">
      <c r="A124" s="12">
        <f t="shared" si="1"/>
        <v>122</v>
      </c>
      <c r="B124" s="8"/>
      <c r="C124" s="13"/>
      <c r="D124" s="8"/>
      <c r="E124" s="8"/>
      <c r="F124" s="8"/>
      <c r="G124" s="8"/>
      <c r="H124" s="8"/>
      <c r="I124" s="7" t="s">
        <v>37</v>
      </c>
      <c r="J124" s="7"/>
      <c r="K124" s="7"/>
      <c r="L124" s="7"/>
      <c r="M124" s="7" t="s">
        <v>38</v>
      </c>
      <c r="N124" s="7" t="s">
        <v>38</v>
      </c>
      <c r="O124" s="7"/>
      <c r="P124" s="7">
        <v>0</v>
      </c>
      <c r="Q124" s="7" t="s">
        <v>38</v>
      </c>
      <c r="R124" s="7" t="s">
        <v>38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 t="s">
        <v>38</v>
      </c>
      <c r="AE124" s="7">
        <v>0</v>
      </c>
      <c r="AF124" s="7">
        <v>0</v>
      </c>
      <c r="AG124" s="7">
        <v>0</v>
      </c>
      <c r="AH124" s="8" t="s">
        <v>81</v>
      </c>
      <c r="AI124" s="8" t="s">
        <v>40</v>
      </c>
      <c r="AJ124" s="8" t="s">
        <v>82</v>
      </c>
      <c r="AK124" s="11" t="s">
        <v>268</v>
      </c>
    </row>
    <row r="125" spans="1:37" s="32" customFormat="1" x14ac:dyDescent="0.2">
      <c r="A125" s="29">
        <f t="shared" si="1"/>
        <v>123</v>
      </c>
      <c r="B125" s="27"/>
      <c r="C125" s="27"/>
      <c r="D125" s="27"/>
      <c r="E125" s="27"/>
      <c r="F125" s="27"/>
      <c r="G125" s="27"/>
      <c r="H125" s="27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7" t="s">
        <v>220</v>
      </c>
      <c r="AI125" s="27"/>
      <c r="AJ125" s="27"/>
      <c r="AK125" s="31"/>
    </row>
    <row r="126" spans="1:37" s="32" customFormat="1" ht="17" x14ac:dyDescent="0.2">
      <c r="A126" s="29">
        <f t="shared" si="1"/>
        <v>124</v>
      </c>
      <c r="B126" s="27"/>
      <c r="C126" s="27"/>
      <c r="D126" s="27"/>
      <c r="E126" s="27"/>
      <c r="F126" s="27"/>
      <c r="G126" s="27"/>
      <c r="H126" s="27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7" t="s">
        <v>269</v>
      </c>
      <c r="AI126" s="27"/>
      <c r="AJ126" s="27"/>
      <c r="AK126" s="31" t="s">
        <v>270</v>
      </c>
    </row>
    <row r="127" spans="1:37" s="32" customFormat="1" ht="34" x14ac:dyDescent="0.2">
      <c r="A127" s="29">
        <f t="shared" si="1"/>
        <v>125</v>
      </c>
      <c r="B127" s="27"/>
      <c r="C127" s="27"/>
      <c r="D127" s="27"/>
      <c r="E127" s="27"/>
      <c r="F127" s="27"/>
      <c r="G127" s="27"/>
      <c r="H127" s="27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 t="s">
        <v>38</v>
      </c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7" t="s">
        <v>271</v>
      </c>
      <c r="AI127" s="27"/>
      <c r="AJ127" s="27"/>
      <c r="AK127" s="31" t="s">
        <v>272</v>
      </c>
    </row>
    <row r="128" spans="1:37" ht="34" x14ac:dyDescent="0.2">
      <c r="A128" s="12">
        <f t="shared" si="1"/>
        <v>126</v>
      </c>
      <c r="B128" s="8"/>
      <c r="C128" s="8"/>
      <c r="D128" s="8"/>
      <c r="E128" s="8"/>
      <c r="F128" s="8"/>
      <c r="G128" s="8"/>
      <c r="H128" s="8"/>
      <c r="I128" s="10" t="s">
        <v>37</v>
      </c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8" t="s">
        <v>81</v>
      </c>
      <c r="AI128" s="8"/>
      <c r="AJ128" s="8" t="s">
        <v>82</v>
      </c>
      <c r="AK128" s="11" t="s">
        <v>273</v>
      </c>
    </row>
    <row r="129" spans="1:37" s="32" customFormat="1" ht="51" x14ac:dyDescent="0.2">
      <c r="A129" s="29">
        <f t="shared" si="1"/>
        <v>127</v>
      </c>
      <c r="B129" s="27"/>
      <c r="C129" s="27"/>
      <c r="D129" s="27"/>
      <c r="E129" s="27"/>
      <c r="F129" s="27"/>
      <c r="G129" s="30"/>
      <c r="H129" s="27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7" t="s">
        <v>81</v>
      </c>
      <c r="AI129" s="27"/>
      <c r="AJ129" s="27" t="s">
        <v>82</v>
      </c>
      <c r="AK129" s="31" t="s">
        <v>274</v>
      </c>
    </row>
    <row r="130" spans="1:37" ht="34" x14ac:dyDescent="0.2">
      <c r="A130" s="12">
        <f t="shared" si="1"/>
        <v>128</v>
      </c>
      <c r="B130" s="8"/>
      <c r="C130" s="27"/>
      <c r="D130" s="8"/>
      <c r="E130" s="8"/>
      <c r="F130" s="8"/>
      <c r="G130" s="17"/>
      <c r="H130" s="8"/>
      <c r="I130" s="10" t="s">
        <v>50</v>
      </c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6" t="s">
        <v>275</v>
      </c>
      <c r="AD130" s="10"/>
      <c r="AE130" s="10"/>
      <c r="AF130" s="10"/>
      <c r="AG130" s="10"/>
      <c r="AH130" s="8" t="s">
        <v>46</v>
      </c>
      <c r="AI130" s="8" t="s">
        <v>40</v>
      </c>
      <c r="AJ130" s="8" t="s">
        <v>276</v>
      </c>
      <c r="AK130" s="11" t="s">
        <v>277</v>
      </c>
    </row>
    <row r="131" spans="1:37" ht="68" x14ac:dyDescent="0.2">
      <c r="A131" s="12">
        <f t="shared" si="1"/>
        <v>129</v>
      </c>
      <c r="B131" s="8"/>
      <c r="C131" s="13"/>
      <c r="D131" s="8"/>
      <c r="E131" s="8"/>
      <c r="F131" s="8"/>
      <c r="G131" s="8"/>
      <c r="H131" s="8"/>
      <c r="I131" s="7" t="s">
        <v>127</v>
      </c>
      <c r="J131" s="7" t="s">
        <v>38</v>
      </c>
      <c r="K131" s="7" t="s">
        <v>38</v>
      </c>
      <c r="L131" s="7" t="s">
        <v>38</v>
      </c>
      <c r="M131" s="7" t="s">
        <v>38</v>
      </c>
      <c r="N131" s="7" t="s">
        <v>38</v>
      </c>
      <c r="O131" s="7" t="s">
        <v>38</v>
      </c>
      <c r="P131" s="7" t="s">
        <v>38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 t="s">
        <v>38</v>
      </c>
      <c r="AE131" s="7" t="s">
        <v>38</v>
      </c>
      <c r="AF131" s="7">
        <v>0</v>
      </c>
      <c r="AG131" s="7" t="s">
        <v>38</v>
      </c>
      <c r="AH131" s="8" t="s">
        <v>81</v>
      </c>
      <c r="AI131" s="8" t="s">
        <v>40</v>
      </c>
      <c r="AJ131" s="8" t="s">
        <v>82</v>
      </c>
      <c r="AK131" s="11" t="s">
        <v>278</v>
      </c>
    </row>
    <row r="132" spans="1:37" s="32" customFormat="1" ht="34" x14ac:dyDescent="0.2">
      <c r="A132" s="29">
        <f t="shared" si="1"/>
        <v>130</v>
      </c>
      <c r="B132" s="27"/>
      <c r="C132" s="27"/>
      <c r="D132" s="27"/>
      <c r="E132" s="27"/>
      <c r="F132" s="27"/>
      <c r="G132" s="27"/>
      <c r="H132" s="27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 t="s">
        <v>38</v>
      </c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7" t="s">
        <v>279</v>
      </c>
      <c r="AI132" s="27"/>
      <c r="AJ132" s="27"/>
      <c r="AK132" s="31" t="s">
        <v>280</v>
      </c>
    </row>
    <row r="133" spans="1:37" s="32" customFormat="1" ht="34" x14ac:dyDescent="0.2">
      <c r="A133" s="29">
        <f t="shared" ref="A133:A196" si="2">1+A132</f>
        <v>131</v>
      </c>
      <c r="B133" s="27"/>
      <c r="C133" s="27"/>
      <c r="D133" s="27"/>
      <c r="E133" s="27"/>
      <c r="F133" s="27"/>
      <c r="G133" s="27"/>
      <c r="H133" s="27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 t="s">
        <v>38</v>
      </c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7" t="s">
        <v>281</v>
      </c>
      <c r="AI133" s="27"/>
      <c r="AJ133" s="27"/>
      <c r="AK133" s="31" t="s">
        <v>282</v>
      </c>
    </row>
    <row r="134" spans="1:37" ht="17" x14ac:dyDescent="0.2">
      <c r="A134" s="12">
        <f t="shared" si="2"/>
        <v>132</v>
      </c>
      <c r="B134" s="13"/>
      <c r="C134" s="13"/>
      <c r="D134" s="8"/>
      <c r="E134" s="8"/>
      <c r="F134" s="8"/>
      <c r="G134" s="8"/>
      <c r="H134" s="8"/>
      <c r="I134" s="7" t="s">
        <v>37</v>
      </c>
      <c r="J134" s="7"/>
      <c r="K134" s="7"/>
      <c r="L134" s="7"/>
      <c r="M134" s="7"/>
      <c r="N134" s="7"/>
      <c r="O134" s="7"/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 t="s">
        <v>283</v>
      </c>
      <c r="AD134" s="7" t="s">
        <v>38</v>
      </c>
      <c r="AE134" s="7" t="s">
        <v>38</v>
      </c>
      <c r="AF134" s="7" t="s">
        <v>38</v>
      </c>
      <c r="AG134" s="7">
        <v>0</v>
      </c>
      <c r="AH134" s="8" t="s">
        <v>43</v>
      </c>
      <c r="AI134" s="8" t="s">
        <v>40</v>
      </c>
      <c r="AJ134" s="8" t="s">
        <v>44</v>
      </c>
      <c r="AK134" s="11" t="s">
        <v>284</v>
      </c>
    </row>
    <row r="135" spans="1:37" ht="34" x14ac:dyDescent="0.2">
      <c r="A135" s="12">
        <f t="shared" si="2"/>
        <v>133</v>
      </c>
      <c r="B135" s="8"/>
      <c r="C135" s="8"/>
      <c r="D135" s="17"/>
      <c r="E135" s="8"/>
      <c r="F135" s="8"/>
      <c r="G135" s="17"/>
      <c r="H135" s="8"/>
      <c r="I135" s="10" t="s">
        <v>50</v>
      </c>
      <c r="J135" s="10"/>
      <c r="K135" s="10"/>
      <c r="L135" s="10"/>
      <c r="M135" s="10"/>
      <c r="N135" s="10"/>
      <c r="O135" s="10"/>
      <c r="P135" s="10"/>
      <c r="Q135" s="10"/>
      <c r="R135" s="10"/>
      <c r="S135" s="10" t="s">
        <v>38</v>
      </c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8" t="s">
        <v>285</v>
      </c>
      <c r="AI135" s="8" t="s">
        <v>56</v>
      </c>
      <c r="AJ135" s="8" t="s">
        <v>286</v>
      </c>
      <c r="AK135" s="11" t="s">
        <v>287</v>
      </c>
    </row>
    <row r="136" spans="1:37" ht="15" customHeight="1" x14ac:dyDescent="0.2">
      <c r="A136" s="12">
        <f t="shared" si="2"/>
        <v>134</v>
      </c>
      <c r="B136" s="8"/>
      <c r="C136" s="8"/>
      <c r="D136" s="8"/>
      <c r="E136" s="8"/>
      <c r="F136" s="8"/>
      <c r="G136" s="17"/>
      <c r="H136" s="8"/>
      <c r="I136" s="10" t="s">
        <v>50</v>
      </c>
      <c r="J136" s="10"/>
      <c r="K136" s="10" t="s">
        <v>38</v>
      </c>
      <c r="L136" s="10"/>
      <c r="M136" s="10" t="s">
        <v>38</v>
      </c>
      <c r="N136" s="10" t="s">
        <v>38</v>
      </c>
      <c r="O136" s="10"/>
      <c r="P136" s="10" t="s">
        <v>38</v>
      </c>
      <c r="Q136" s="10"/>
      <c r="R136" s="10"/>
      <c r="S136" s="10"/>
      <c r="T136" s="10" t="s">
        <v>38</v>
      </c>
      <c r="U136" s="10"/>
      <c r="V136" s="10"/>
      <c r="W136" s="10"/>
      <c r="X136" s="10" t="s">
        <v>38</v>
      </c>
      <c r="Y136" s="10"/>
      <c r="Z136" s="10" t="s">
        <v>38</v>
      </c>
      <c r="AA136" s="10"/>
      <c r="AB136" s="10"/>
      <c r="AC136" s="10"/>
      <c r="AD136" s="10"/>
      <c r="AE136" s="10"/>
      <c r="AF136" s="10"/>
      <c r="AG136" s="10"/>
      <c r="AH136" s="8" t="s">
        <v>94</v>
      </c>
      <c r="AI136" s="8" t="s">
        <v>40</v>
      </c>
      <c r="AJ136" s="8" t="s">
        <v>75</v>
      </c>
      <c r="AK136" s="11" t="s">
        <v>288</v>
      </c>
    </row>
    <row r="137" spans="1:37" s="32" customFormat="1" ht="34" x14ac:dyDescent="0.2">
      <c r="A137" s="29">
        <f t="shared" si="2"/>
        <v>135</v>
      </c>
      <c r="B137" s="27"/>
      <c r="C137" s="27"/>
      <c r="D137" s="30"/>
      <c r="E137" s="27"/>
      <c r="F137" s="27"/>
      <c r="G137" s="30"/>
      <c r="H137" s="27"/>
      <c r="I137" s="28" t="s">
        <v>141</v>
      </c>
      <c r="J137" s="28" t="s">
        <v>38</v>
      </c>
      <c r="K137" s="28" t="s">
        <v>38</v>
      </c>
      <c r="L137" s="28" t="s">
        <v>38</v>
      </c>
      <c r="M137" s="28" t="s">
        <v>38</v>
      </c>
      <c r="N137" s="28" t="s">
        <v>38</v>
      </c>
      <c r="O137" s="28" t="s">
        <v>38</v>
      </c>
      <c r="P137" s="28" t="s">
        <v>38</v>
      </c>
      <c r="Q137" s="28"/>
      <c r="R137" s="28"/>
      <c r="S137" s="28" t="s">
        <v>38</v>
      </c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7" t="s">
        <v>289</v>
      </c>
      <c r="AI137" s="27" t="s">
        <v>47</v>
      </c>
      <c r="AJ137" s="27"/>
      <c r="AK137" s="31" t="s">
        <v>290</v>
      </c>
    </row>
    <row r="138" spans="1:37" s="32" customFormat="1" ht="17" x14ac:dyDescent="0.2">
      <c r="A138" s="29">
        <f t="shared" si="2"/>
        <v>136</v>
      </c>
      <c r="B138" s="27"/>
      <c r="C138" s="27"/>
      <c r="D138" s="27"/>
      <c r="E138" s="27"/>
      <c r="F138" s="27"/>
      <c r="G138" s="27"/>
      <c r="H138" s="27"/>
      <c r="I138" s="28" t="s">
        <v>50</v>
      </c>
      <c r="J138" s="28"/>
      <c r="K138" s="28" t="s">
        <v>38</v>
      </c>
      <c r="L138" s="28"/>
      <c r="M138" s="28" t="s">
        <v>38</v>
      </c>
      <c r="N138" s="28" t="s">
        <v>38</v>
      </c>
      <c r="O138" s="28"/>
      <c r="P138" s="28" t="s">
        <v>38</v>
      </c>
      <c r="Q138" s="28"/>
      <c r="R138" s="28"/>
      <c r="S138" s="28" t="s">
        <v>38</v>
      </c>
      <c r="T138" s="28"/>
      <c r="U138" s="28"/>
      <c r="V138" s="28"/>
      <c r="W138" s="28"/>
      <c r="X138" s="28" t="s">
        <v>38</v>
      </c>
      <c r="Y138" s="28"/>
      <c r="Z138" s="28" t="s">
        <v>38</v>
      </c>
      <c r="AA138" s="28"/>
      <c r="AB138" s="28"/>
      <c r="AC138" s="28"/>
      <c r="AD138" s="28"/>
      <c r="AE138" s="28"/>
      <c r="AF138" s="28"/>
      <c r="AG138" s="28"/>
      <c r="AH138" s="27" t="s">
        <v>46</v>
      </c>
      <c r="AI138" s="27" t="s">
        <v>40</v>
      </c>
      <c r="AJ138" s="27"/>
      <c r="AK138" s="31" t="s">
        <v>291</v>
      </c>
    </row>
    <row r="139" spans="1:37" ht="17" x14ac:dyDescent="0.2">
      <c r="A139" s="12">
        <f t="shared" si="2"/>
        <v>137</v>
      </c>
      <c r="B139" s="8"/>
      <c r="C139" s="13"/>
      <c r="D139" s="8"/>
      <c r="E139" s="8"/>
      <c r="F139" s="8"/>
      <c r="G139" s="8"/>
      <c r="H139" s="8"/>
      <c r="I139" s="7" t="s">
        <v>37</v>
      </c>
      <c r="J139" s="7" t="s">
        <v>38</v>
      </c>
      <c r="K139" s="7" t="s">
        <v>38</v>
      </c>
      <c r="L139" s="7"/>
      <c r="M139" s="7" t="s">
        <v>38</v>
      </c>
      <c r="N139" s="7" t="s">
        <v>38</v>
      </c>
      <c r="O139" s="7"/>
      <c r="P139" s="7" t="s">
        <v>38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 t="s">
        <v>38</v>
      </c>
      <c r="AE139" s="7">
        <v>0</v>
      </c>
      <c r="AF139" s="7">
        <v>0</v>
      </c>
      <c r="AG139" s="7">
        <v>0</v>
      </c>
      <c r="AH139" s="8" t="s">
        <v>81</v>
      </c>
      <c r="AI139" s="8" t="s">
        <v>40</v>
      </c>
      <c r="AJ139" s="8" t="s">
        <v>82</v>
      </c>
      <c r="AK139" s="11" t="s">
        <v>292</v>
      </c>
    </row>
    <row r="140" spans="1:37" s="32" customFormat="1" ht="17" x14ac:dyDescent="0.2">
      <c r="A140" s="29">
        <f t="shared" si="2"/>
        <v>138</v>
      </c>
      <c r="B140" s="27"/>
      <c r="C140" s="27"/>
      <c r="D140" s="27"/>
      <c r="E140" s="27"/>
      <c r="F140" s="27"/>
      <c r="G140" s="27"/>
      <c r="H140" s="27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7" t="s">
        <v>169</v>
      </c>
      <c r="AI140" s="27"/>
      <c r="AJ140" s="27"/>
      <c r="AK140" s="31" t="s">
        <v>293</v>
      </c>
    </row>
    <row r="141" spans="1:37" ht="17" x14ac:dyDescent="0.2">
      <c r="A141" s="12">
        <f t="shared" si="2"/>
        <v>139</v>
      </c>
      <c r="B141" s="8"/>
      <c r="C141" s="13"/>
      <c r="D141" s="8"/>
      <c r="E141" s="8"/>
      <c r="F141" s="8"/>
      <c r="G141" s="8"/>
      <c r="H141" s="8"/>
      <c r="I141" s="7" t="s">
        <v>114</v>
      </c>
      <c r="J141" s="7"/>
      <c r="K141" s="7"/>
      <c r="L141" s="7"/>
      <c r="M141" s="7"/>
      <c r="N141" s="7"/>
      <c r="O141" s="7"/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 t="s">
        <v>294</v>
      </c>
      <c r="AD141" s="7">
        <v>0</v>
      </c>
      <c r="AE141" s="7">
        <v>0</v>
      </c>
      <c r="AF141" s="7">
        <v>0</v>
      </c>
      <c r="AG141" s="7">
        <v>0</v>
      </c>
      <c r="AH141" s="8" t="s">
        <v>43</v>
      </c>
      <c r="AI141" s="8" t="s">
        <v>47</v>
      </c>
      <c r="AJ141" s="8" t="s">
        <v>44</v>
      </c>
      <c r="AK141" s="11" t="s">
        <v>295</v>
      </c>
    </row>
    <row r="142" spans="1:37" s="32" customFormat="1" x14ac:dyDescent="0.2">
      <c r="A142" s="29">
        <f t="shared" si="2"/>
        <v>140</v>
      </c>
      <c r="B142" s="27"/>
      <c r="C142" s="33"/>
      <c r="D142" s="27"/>
      <c r="E142" s="27"/>
      <c r="F142" s="27"/>
      <c r="G142" s="27"/>
      <c r="H142" s="27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7" t="s">
        <v>220</v>
      </c>
      <c r="AI142" s="27"/>
      <c r="AJ142" s="27"/>
      <c r="AK142" s="31"/>
    </row>
    <row r="143" spans="1:37" ht="34" x14ac:dyDescent="0.2">
      <c r="A143" s="12">
        <f t="shared" si="2"/>
        <v>141</v>
      </c>
      <c r="B143" s="8"/>
      <c r="C143" s="13"/>
      <c r="D143" s="8"/>
      <c r="E143" s="8"/>
      <c r="F143" s="8"/>
      <c r="G143" s="8"/>
      <c r="H143" s="8"/>
      <c r="I143" s="7" t="s">
        <v>37</v>
      </c>
      <c r="J143" s="7" t="s">
        <v>38</v>
      </c>
      <c r="K143" s="7" t="s">
        <v>38</v>
      </c>
      <c r="L143" s="7" t="s">
        <v>38</v>
      </c>
      <c r="M143" s="7"/>
      <c r="N143" s="7" t="s">
        <v>38</v>
      </c>
      <c r="O143" s="7" t="s">
        <v>38</v>
      </c>
      <c r="P143" s="7" t="s">
        <v>38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 t="s">
        <v>38</v>
      </c>
      <c r="AE143" s="7">
        <v>0</v>
      </c>
      <c r="AF143" s="7">
        <v>0</v>
      </c>
      <c r="AG143" s="7">
        <v>0</v>
      </c>
      <c r="AH143" s="8" t="s">
        <v>213</v>
      </c>
      <c r="AI143" s="8" t="s">
        <v>40</v>
      </c>
      <c r="AJ143" s="8" t="s">
        <v>66</v>
      </c>
      <c r="AK143" s="11" t="s">
        <v>296</v>
      </c>
    </row>
    <row r="144" spans="1:37" s="32" customFormat="1" ht="34" x14ac:dyDescent="0.2">
      <c r="A144" s="29">
        <f t="shared" si="2"/>
        <v>142</v>
      </c>
      <c r="B144" s="27"/>
      <c r="C144" s="27"/>
      <c r="D144" s="27"/>
      <c r="E144" s="27"/>
      <c r="F144" s="27"/>
      <c r="G144" s="27"/>
      <c r="H144" s="27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 t="s">
        <v>38</v>
      </c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7" t="s">
        <v>297</v>
      </c>
      <c r="AI144" s="27"/>
      <c r="AJ144" s="27"/>
      <c r="AK144" s="31" t="s">
        <v>298</v>
      </c>
    </row>
    <row r="145" spans="1:37" s="32" customFormat="1" ht="17" x14ac:dyDescent="0.2">
      <c r="A145" s="29">
        <f t="shared" si="2"/>
        <v>143</v>
      </c>
      <c r="B145" s="27"/>
      <c r="C145" s="27"/>
      <c r="D145" s="27"/>
      <c r="E145" s="27"/>
      <c r="F145" s="27"/>
      <c r="G145" s="27"/>
      <c r="H145" s="27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7" t="s">
        <v>77</v>
      </c>
      <c r="AI145" s="27"/>
      <c r="AJ145" s="27"/>
      <c r="AK145" s="31" t="s">
        <v>299</v>
      </c>
    </row>
    <row r="146" spans="1:37" x14ac:dyDescent="0.2">
      <c r="A146" s="12">
        <f t="shared" si="2"/>
        <v>144</v>
      </c>
      <c r="B146" s="8"/>
      <c r="C146" s="13"/>
      <c r="D146" s="8"/>
      <c r="E146" s="8"/>
      <c r="F146" s="8"/>
      <c r="G146" s="8"/>
      <c r="H146" s="8"/>
      <c r="I146" s="7" t="s">
        <v>37</v>
      </c>
      <c r="J146" s="7" t="s">
        <v>38</v>
      </c>
      <c r="K146" s="7" t="s">
        <v>38</v>
      </c>
      <c r="L146" s="7" t="s">
        <v>38</v>
      </c>
      <c r="M146" s="7" t="s">
        <v>38</v>
      </c>
      <c r="N146" s="7" t="s">
        <v>38</v>
      </c>
      <c r="O146" s="7"/>
      <c r="P146" s="7" t="s">
        <v>38</v>
      </c>
      <c r="Q146" s="7">
        <v>0</v>
      </c>
      <c r="R146" s="7" t="s">
        <v>38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 t="s">
        <v>38</v>
      </c>
      <c r="AE146" s="7">
        <v>0</v>
      </c>
      <c r="AF146" s="7" t="s">
        <v>38</v>
      </c>
      <c r="AG146" s="7">
        <v>0</v>
      </c>
      <c r="AH146" s="8" t="s">
        <v>66</v>
      </c>
      <c r="AI146" s="8" t="s">
        <v>40</v>
      </c>
      <c r="AJ146" s="8" t="s">
        <v>66</v>
      </c>
      <c r="AK146" s="11"/>
    </row>
    <row r="147" spans="1:37" s="32" customFormat="1" ht="34" x14ac:dyDescent="0.2">
      <c r="A147" s="29">
        <f t="shared" si="2"/>
        <v>145</v>
      </c>
      <c r="B147" s="27"/>
      <c r="C147" s="27"/>
      <c r="D147" s="27"/>
      <c r="E147" s="27"/>
      <c r="F147" s="27"/>
      <c r="G147" s="27"/>
      <c r="H147" s="27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 t="s">
        <v>38</v>
      </c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7" t="s">
        <v>191</v>
      </c>
      <c r="AI147" s="27"/>
      <c r="AJ147" s="27"/>
      <c r="AK147" s="31" t="s">
        <v>300</v>
      </c>
    </row>
    <row r="148" spans="1:37" s="32" customFormat="1" ht="17" x14ac:dyDescent="0.2">
      <c r="A148" s="29">
        <f t="shared" si="2"/>
        <v>146</v>
      </c>
      <c r="B148" s="33"/>
      <c r="C148" s="33"/>
      <c r="D148" s="27"/>
      <c r="E148" s="33"/>
      <c r="F148" s="33"/>
      <c r="G148" s="34"/>
      <c r="H148" s="27"/>
      <c r="I148" s="28" t="s">
        <v>37</v>
      </c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7" t="s">
        <v>301</v>
      </c>
      <c r="AI148" s="27"/>
      <c r="AJ148" s="27"/>
      <c r="AK148" s="31" t="s">
        <v>302</v>
      </c>
    </row>
    <row r="149" spans="1:37" s="32" customFormat="1" ht="17" x14ac:dyDescent="0.2">
      <c r="A149" s="29">
        <f t="shared" si="2"/>
        <v>147</v>
      </c>
      <c r="B149" s="33"/>
      <c r="C149" s="33"/>
      <c r="D149" s="27"/>
      <c r="E149" s="33"/>
      <c r="F149" s="33"/>
      <c r="G149" s="34"/>
      <c r="H149" s="27"/>
      <c r="I149" s="28" t="s">
        <v>50</v>
      </c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7" t="s">
        <v>303</v>
      </c>
      <c r="AI149" s="27"/>
      <c r="AJ149" s="27"/>
      <c r="AK149" s="31" t="s">
        <v>304</v>
      </c>
    </row>
    <row r="150" spans="1:37" x14ac:dyDescent="0.2">
      <c r="A150" s="12">
        <f t="shared" si="2"/>
        <v>148</v>
      </c>
      <c r="B150" s="8"/>
      <c r="C150" s="13"/>
      <c r="D150" s="8"/>
      <c r="E150" s="8"/>
      <c r="F150" s="8"/>
      <c r="G150" s="8"/>
      <c r="H150" s="8"/>
      <c r="I150" s="10" t="s">
        <v>50</v>
      </c>
      <c r="J150" s="7" t="s">
        <v>38</v>
      </c>
      <c r="K150" s="7" t="s">
        <v>38</v>
      </c>
      <c r="L150" s="7"/>
      <c r="M150" s="7" t="s">
        <v>38</v>
      </c>
      <c r="N150" s="7" t="s">
        <v>38</v>
      </c>
      <c r="O150" s="7"/>
      <c r="P150" s="7" t="s">
        <v>38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8" t="s">
        <v>305</v>
      </c>
      <c r="AI150" s="8" t="s">
        <v>40</v>
      </c>
      <c r="AJ150" s="8" t="s">
        <v>306</v>
      </c>
      <c r="AK150" s="11"/>
    </row>
    <row r="151" spans="1:37" s="32" customFormat="1" ht="34" x14ac:dyDescent="0.2">
      <c r="A151" s="29">
        <f t="shared" si="2"/>
        <v>149</v>
      </c>
      <c r="B151" s="27"/>
      <c r="C151" s="27"/>
      <c r="D151" s="27"/>
      <c r="E151" s="27"/>
      <c r="F151" s="27"/>
      <c r="G151" s="27"/>
      <c r="H151" s="27"/>
      <c r="I151" s="28" t="s">
        <v>141</v>
      </c>
      <c r="J151" s="28"/>
      <c r="K151" s="28"/>
      <c r="L151" s="28"/>
      <c r="M151" s="28"/>
      <c r="N151" s="28"/>
      <c r="O151" s="28"/>
      <c r="P151" s="28"/>
      <c r="Q151" s="28"/>
      <c r="R151" s="28"/>
      <c r="S151" s="28" t="s">
        <v>38</v>
      </c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7" t="s">
        <v>115</v>
      </c>
      <c r="AI151" s="27"/>
      <c r="AJ151" s="27"/>
      <c r="AK151" s="31" t="s">
        <v>307</v>
      </c>
    </row>
    <row r="152" spans="1:37" ht="34" x14ac:dyDescent="0.2">
      <c r="A152" s="12">
        <f t="shared" si="2"/>
        <v>150</v>
      </c>
      <c r="B152" s="8"/>
      <c r="C152" s="8"/>
      <c r="D152" s="8"/>
      <c r="E152" s="8"/>
      <c r="F152" s="8"/>
      <c r="G152" s="17"/>
      <c r="H152" s="8"/>
      <c r="I152" s="10" t="s">
        <v>37</v>
      </c>
      <c r="J152" s="10" t="s">
        <v>38</v>
      </c>
      <c r="K152" s="10" t="s">
        <v>38</v>
      </c>
      <c r="L152" s="10" t="s">
        <v>38</v>
      </c>
      <c r="M152" s="10" t="s">
        <v>38</v>
      </c>
      <c r="N152" s="10" t="s">
        <v>38</v>
      </c>
      <c r="O152" s="35" t="s">
        <v>38</v>
      </c>
      <c r="P152" s="35" t="s">
        <v>38</v>
      </c>
      <c r="Q152" s="10"/>
      <c r="R152" s="35" t="s">
        <v>38</v>
      </c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35" t="s">
        <v>38</v>
      </c>
      <c r="AE152" s="35" t="s">
        <v>38</v>
      </c>
      <c r="AF152" s="35" t="s">
        <v>38</v>
      </c>
      <c r="AG152" s="35" t="s">
        <v>38</v>
      </c>
      <c r="AH152" s="8" t="s">
        <v>308</v>
      </c>
      <c r="AI152" s="8" t="s">
        <v>40</v>
      </c>
      <c r="AJ152" s="8" t="s">
        <v>309</v>
      </c>
      <c r="AK152" s="11" t="s">
        <v>310</v>
      </c>
    </row>
    <row r="153" spans="1:37" ht="17" x14ac:dyDescent="0.2">
      <c r="A153" s="12">
        <f t="shared" si="2"/>
        <v>151</v>
      </c>
      <c r="B153" s="8"/>
      <c r="C153" s="8"/>
      <c r="D153" s="8"/>
      <c r="E153" s="8"/>
      <c r="F153" s="8"/>
      <c r="G153" s="17"/>
      <c r="H153" s="8"/>
      <c r="I153" s="10" t="s">
        <v>37</v>
      </c>
      <c r="J153" s="10" t="s">
        <v>38</v>
      </c>
      <c r="K153" s="10" t="s">
        <v>38</v>
      </c>
      <c r="L153" s="10" t="s">
        <v>38</v>
      </c>
      <c r="M153" s="10" t="s">
        <v>38</v>
      </c>
      <c r="N153" s="10" t="s">
        <v>38</v>
      </c>
      <c r="O153" s="36" t="s">
        <v>38</v>
      </c>
      <c r="P153" s="36" t="s">
        <v>38</v>
      </c>
      <c r="Q153" s="10"/>
      <c r="R153" s="36" t="s">
        <v>38</v>
      </c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36" t="s">
        <v>38</v>
      </c>
      <c r="AE153" s="36" t="s">
        <v>38</v>
      </c>
      <c r="AF153" s="36" t="s">
        <v>38</v>
      </c>
      <c r="AG153" s="36" t="s">
        <v>38</v>
      </c>
      <c r="AH153" s="8" t="s">
        <v>81</v>
      </c>
      <c r="AI153" s="8" t="s">
        <v>40</v>
      </c>
      <c r="AJ153" s="8" t="s">
        <v>82</v>
      </c>
      <c r="AK153" s="11" t="s">
        <v>311</v>
      </c>
    </row>
    <row r="154" spans="1:37" ht="34" x14ac:dyDescent="0.2">
      <c r="A154" s="12">
        <f t="shared" si="2"/>
        <v>152</v>
      </c>
      <c r="B154" s="8"/>
      <c r="C154" s="8"/>
      <c r="D154" s="8"/>
      <c r="E154" s="8"/>
      <c r="F154" s="8"/>
      <c r="G154" s="17"/>
      <c r="H154" s="8"/>
      <c r="I154" s="10" t="s">
        <v>37</v>
      </c>
      <c r="J154" s="10" t="s">
        <v>38</v>
      </c>
      <c r="K154" s="10" t="s">
        <v>38</v>
      </c>
      <c r="L154" s="10" t="s">
        <v>38</v>
      </c>
      <c r="M154" s="10" t="s">
        <v>38</v>
      </c>
      <c r="N154" s="10" t="s">
        <v>38</v>
      </c>
      <c r="O154" s="36" t="s">
        <v>38</v>
      </c>
      <c r="P154" s="36" t="s">
        <v>38</v>
      </c>
      <c r="Q154" s="10"/>
      <c r="R154" s="36" t="s">
        <v>38</v>
      </c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36" t="s">
        <v>38</v>
      </c>
      <c r="AE154" s="36" t="s">
        <v>38</v>
      </c>
      <c r="AF154" s="36" t="s">
        <v>38</v>
      </c>
      <c r="AG154" s="36" t="s">
        <v>38</v>
      </c>
      <c r="AH154" s="8" t="s">
        <v>312</v>
      </c>
      <c r="AI154" s="8" t="s">
        <v>40</v>
      </c>
      <c r="AJ154" s="8" t="s">
        <v>153</v>
      </c>
      <c r="AK154" s="11" t="s">
        <v>313</v>
      </c>
    </row>
    <row r="155" spans="1:37" ht="17" x14ac:dyDescent="0.2">
      <c r="A155" s="12">
        <f t="shared" si="2"/>
        <v>153</v>
      </c>
      <c r="B155" s="13"/>
      <c r="C155" s="13"/>
      <c r="D155" s="8"/>
      <c r="E155" s="8"/>
      <c r="F155" s="8"/>
      <c r="G155" s="8"/>
      <c r="H155" s="8"/>
      <c r="I155" s="7" t="s">
        <v>114</v>
      </c>
      <c r="J155" s="7"/>
      <c r="K155" s="7"/>
      <c r="L155" s="7"/>
      <c r="M155" s="7"/>
      <c r="N155" s="7"/>
      <c r="O155" s="7"/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 t="s">
        <v>314</v>
      </c>
      <c r="AD155" s="7">
        <v>0</v>
      </c>
      <c r="AE155" s="7" t="s">
        <v>38</v>
      </c>
      <c r="AF155" s="7">
        <v>0</v>
      </c>
      <c r="AG155" s="7">
        <v>0</v>
      </c>
      <c r="AH155" s="8" t="s">
        <v>43</v>
      </c>
      <c r="AI155" s="8" t="s">
        <v>40</v>
      </c>
      <c r="AJ155" s="8" t="s">
        <v>44</v>
      </c>
      <c r="AK155" s="11" t="s">
        <v>315</v>
      </c>
    </row>
    <row r="156" spans="1:37" ht="44.25" customHeight="1" x14ac:dyDescent="0.2">
      <c r="A156" s="12">
        <f t="shared" si="2"/>
        <v>154</v>
      </c>
      <c r="B156" s="8"/>
      <c r="C156" s="13"/>
      <c r="D156" s="8"/>
      <c r="E156" s="8"/>
      <c r="F156" s="8"/>
      <c r="G156" s="8"/>
      <c r="H156" s="8"/>
      <c r="I156" s="7" t="s">
        <v>37</v>
      </c>
      <c r="J156" s="7" t="s">
        <v>38</v>
      </c>
      <c r="K156" s="7" t="s">
        <v>38</v>
      </c>
      <c r="L156" s="7"/>
      <c r="M156" s="7" t="s">
        <v>38</v>
      </c>
      <c r="N156" s="7" t="s">
        <v>38</v>
      </c>
      <c r="O156" s="7"/>
      <c r="P156" s="7" t="s">
        <v>38</v>
      </c>
      <c r="Q156" s="7" t="s">
        <v>38</v>
      </c>
      <c r="R156" s="7" t="s">
        <v>38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 t="s">
        <v>316</v>
      </c>
      <c r="AD156" s="7">
        <v>0</v>
      </c>
      <c r="AE156" s="7">
        <v>0</v>
      </c>
      <c r="AF156" s="7">
        <v>0</v>
      </c>
      <c r="AG156" s="7">
        <v>0</v>
      </c>
      <c r="AH156" s="8" t="s">
        <v>81</v>
      </c>
      <c r="AI156" s="8" t="s">
        <v>40</v>
      </c>
      <c r="AJ156" s="8" t="s">
        <v>82</v>
      </c>
      <c r="AK156" s="11" t="s">
        <v>317</v>
      </c>
    </row>
    <row r="157" spans="1:37" ht="17" x14ac:dyDescent="0.2">
      <c r="A157" s="12">
        <f t="shared" si="2"/>
        <v>155</v>
      </c>
      <c r="B157" s="8"/>
      <c r="C157" s="13"/>
      <c r="D157" s="8"/>
      <c r="E157" s="8"/>
      <c r="F157" s="8"/>
      <c r="G157" s="8"/>
      <c r="H157" s="8"/>
      <c r="I157" s="7" t="s">
        <v>127</v>
      </c>
      <c r="J157" s="7" t="s">
        <v>38</v>
      </c>
      <c r="K157" s="7" t="s">
        <v>38</v>
      </c>
      <c r="L157" s="7"/>
      <c r="M157" s="7" t="s">
        <v>38</v>
      </c>
      <c r="N157" s="7" t="s">
        <v>38</v>
      </c>
      <c r="O157" s="7" t="s">
        <v>38</v>
      </c>
      <c r="P157" s="7" t="s">
        <v>38</v>
      </c>
      <c r="Q157" s="7" t="s">
        <v>38</v>
      </c>
      <c r="R157" s="7" t="s">
        <v>38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 t="s">
        <v>38</v>
      </c>
      <c r="AE157" s="7" t="s">
        <v>38</v>
      </c>
      <c r="AF157" s="7" t="s">
        <v>38</v>
      </c>
      <c r="AG157" s="7" t="s">
        <v>38</v>
      </c>
      <c r="AH157" s="8" t="s">
        <v>81</v>
      </c>
      <c r="AI157" s="8" t="s">
        <v>47</v>
      </c>
      <c r="AJ157" s="8" t="s">
        <v>82</v>
      </c>
      <c r="AK157" s="11" t="s">
        <v>318</v>
      </c>
    </row>
    <row r="158" spans="1:37" ht="17" x14ac:dyDescent="0.2">
      <c r="A158" s="12">
        <f t="shared" si="2"/>
        <v>156</v>
      </c>
      <c r="B158" s="8"/>
      <c r="C158" s="13"/>
      <c r="D158" s="8"/>
      <c r="E158" s="8"/>
      <c r="F158" s="8"/>
      <c r="G158" s="8"/>
      <c r="H158" s="8"/>
      <c r="I158" s="7" t="s">
        <v>114</v>
      </c>
      <c r="J158" s="7"/>
      <c r="K158" s="7"/>
      <c r="L158" s="7"/>
      <c r="M158" s="7"/>
      <c r="N158" s="7"/>
      <c r="O158" s="7"/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 t="s">
        <v>319</v>
      </c>
      <c r="AD158" s="7" t="s">
        <v>38</v>
      </c>
      <c r="AE158" s="7">
        <v>0</v>
      </c>
      <c r="AF158" s="7" t="s">
        <v>38</v>
      </c>
      <c r="AG158" s="7">
        <v>0</v>
      </c>
      <c r="AH158" s="8" t="s">
        <v>46</v>
      </c>
      <c r="AI158" s="8" t="s">
        <v>47</v>
      </c>
      <c r="AJ158" s="8" t="s">
        <v>82</v>
      </c>
      <c r="AK158" s="11" t="s">
        <v>320</v>
      </c>
    </row>
    <row r="159" spans="1:37" ht="17" x14ac:dyDescent="0.2">
      <c r="A159" s="12">
        <f t="shared" si="2"/>
        <v>157</v>
      </c>
      <c r="B159" s="8"/>
      <c r="C159" s="13"/>
      <c r="D159" s="8"/>
      <c r="E159" s="8"/>
      <c r="F159" s="8"/>
      <c r="G159" s="8"/>
      <c r="H159" s="8"/>
      <c r="I159" s="7" t="s">
        <v>37</v>
      </c>
      <c r="J159" s="7" t="s">
        <v>38</v>
      </c>
      <c r="K159" s="7" t="s">
        <v>38</v>
      </c>
      <c r="L159" s="7" t="s">
        <v>38</v>
      </c>
      <c r="M159" s="7" t="s">
        <v>38</v>
      </c>
      <c r="N159" s="7" t="s">
        <v>38</v>
      </c>
      <c r="O159" s="7"/>
      <c r="P159" s="7" t="s">
        <v>38</v>
      </c>
      <c r="Q159" s="7" t="s">
        <v>38</v>
      </c>
      <c r="R159" s="7" t="s">
        <v>38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 t="s">
        <v>321</v>
      </c>
      <c r="AD159" s="7" t="s">
        <v>38</v>
      </c>
      <c r="AE159" s="7">
        <v>0</v>
      </c>
      <c r="AF159" s="7" t="s">
        <v>38</v>
      </c>
      <c r="AG159" s="7">
        <v>0</v>
      </c>
      <c r="AH159" s="8" t="s">
        <v>66</v>
      </c>
      <c r="AI159" s="8" t="s">
        <v>40</v>
      </c>
      <c r="AJ159" s="8" t="s">
        <v>66</v>
      </c>
      <c r="AK159" s="11" t="s">
        <v>322</v>
      </c>
    </row>
    <row r="160" spans="1:37" ht="17" x14ac:dyDescent="0.2">
      <c r="A160" s="12">
        <f t="shared" si="2"/>
        <v>158</v>
      </c>
      <c r="B160" s="8"/>
      <c r="C160" s="13"/>
      <c r="D160" s="8"/>
      <c r="E160" s="8"/>
      <c r="F160" s="8"/>
      <c r="G160" s="8"/>
      <c r="H160" s="8"/>
      <c r="I160" s="7" t="s">
        <v>203</v>
      </c>
      <c r="J160" s="7"/>
      <c r="K160" s="7"/>
      <c r="L160" s="7"/>
      <c r="M160" s="7"/>
      <c r="N160" s="7"/>
      <c r="O160" s="7"/>
      <c r="P160" s="7">
        <v>0</v>
      </c>
      <c r="Q160" s="7">
        <v>0</v>
      </c>
      <c r="R160" s="7" t="s">
        <v>38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 t="s">
        <v>323</v>
      </c>
      <c r="AD160" s="7" t="s">
        <v>38</v>
      </c>
      <c r="AE160" s="7">
        <v>0</v>
      </c>
      <c r="AF160" s="7" t="s">
        <v>38</v>
      </c>
      <c r="AG160" s="7">
        <v>0</v>
      </c>
      <c r="AH160" s="8" t="s">
        <v>66</v>
      </c>
      <c r="AI160" s="8" t="s">
        <v>40</v>
      </c>
      <c r="AJ160" s="8" t="s">
        <v>66</v>
      </c>
      <c r="AK160" s="11" t="s">
        <v>324</v>
      </c>
    </row>
    <row r="161" spans="1:38" ht="48" customHeight="1" x14ac:dyDescent="0.2">
      <c r="A161" s="12">
        <f t="shared" si="2"/>
        <v>159</v>
      </c>
      <c r="B161" s="8"/>
      <c r="C161" s="13"/>
      <c r="D161" s="8"/>
      <c r="E161" s="8"/>
      <c r="F161" s="8"/>
      <c r="G161" s="8"/>
      <c r="H161" s="8"/>
      <c r="I161" s="10" t="s">
        <v>50</v>
      </c>
      <c r="J161" s="7" t="s">
        <v>38</v>
      </c>
      <c r="K161" s="7" t="s">
        <v>38</v>
      </c>
      <c r="L161" s="7" t="s">
        <v>38</v>
      </c>
      <c r="M161" s="7" t="s">
        <v>38</v>
      </c>
      <c r="N161" s="7" t="s">
        <v>38</v>
      </c>
      <c r="O161" s="7"/>
      <c r="P161" s="7" t="s">
        <v>38</v>
      </c>
      <c r="Q161" s="7" t="s">
        <v>38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 t="s">
        <v>325</v>
      </c>
      <c r="AD161" s="7" t="s">
        <v>38</v>
      </c>
      <c r="AE161" s="7">
        <v>0</v>
      </c>
      <c r="AF161" s="7">
        <v>0</v>
      </c>
      <c r="AG161" s="7">
        <v>0</v>
      </c>
      <c r="AH161" s="8" t="s">
        <v>93</v>
      </c>
      <c r="AI161" s="8" t="s">
        <v>40</v>
      </c>
      <c r="AJ161" s="8" t="s">
        <v>326</v>
      </c>
      <c r="AK161" s="11" t="s">
        <v>327</v>
      </c>
    </row>
    <row r="162" spans="1:38" s="32" customFormat="1" ht="17" x14ac:dyDescent="0.2">
      <c r="A162" s="29">
        <f t="shared" si="2"/>
        <v>160</v>
      </c>
      <c r="B162" s="27"/>
      <c r="C162" s="27"/>
      <c r="D162" s="27"/>
      <c r="E162" s="27"/>
      <c r="F162" s="27"/>
      <c r="G162" s="27"/>
      <c r="H162" s="27"/>
      <c r="I162" s="28" t="s">
        <v>141</v>
      </c>
      <c r="J162" s="28"/>
      <c r="K162" s="28"/>
      <c r="L162" s="28"/>
      <c r="M162" s="28"/>
      <c r="N162" s="28"/>
      <c r="O162" s="28"/>
      <c r="P162" s="28"/>
      <c r="Q162" s="28"/>
      <c r="R162" s="28"/>
      <c r="S162" s="28" t="s">
        <v>38</v>
      </c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7" t="s">
        <v>328</v>
      </c>
      <c r="AI162" s="27"/>
      <c r="AJ162" s="27"/>
      <c r="AK162" s="31" t="s">
        <v>329</v>
      </c>
    </row>
    <row r="163" spans="1:38" ht="17" x14ac:dyDescent="0.2">
      <c r="A163" s="12">
        <f t="shared" si="2"/>
        <v>161</v>
      </c>
      <c r="B163" s="8"/>
      <c r="C163" s="13"/>
      <c r="D163" s="8"/>
      <c r="E163" s="8"/>
      <c r="F163" s="8"/>
      <c r="G163" s="8"/>
      <c r="H163" s="8"/>
      <c r="I163" s="7" t="s">
        <v>37</v>
      </c>
      <c r="J163" s="7" t="s">
        <v>38</v>
      </c>
      <c r="K163" s="7" t="s">
        <v>38</v>
      </c>
      <c r="L163" s="7" t="s">
        <v>38</v>
      </c>
      <c r="M163" s="7" t="s">
        <v>38</v>
      </c>
      <c r="N163" s="7" t="s">
        <v>38</v>
      </c>
      <c r="O163" s="7"/>
      <c r="P163" s="7" t="s">
        <v>38</v>
      </c>
      <c r="Q163" s="7" t="s">
        <v>38</v>
      </c>
      <c r="R163" s="7" t="s">
        <v>38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 t="s">
        <v>38</v>
      </c>
      <c r="AE163" s="7">
        <v>0</v>
      </c>
      <c r="AF163" s="7">
        <v>0</v>
      </c>
      <c r="AG163" s="7">
        <v>0</v>
      </c>
      <c r="AH163" s="8" t="s">
        <v>46</v>
      </c>
      <c r="AI163" s="8" t="s">
        <v>40</v>
      </c>
      <c r="AJ163" s="8" t="s">
        <v>66</v>
      </c>
      <c r="AK163" s="11" t="s">
        <v>330</v>
      </c>
    </row>
    <row r="164" spans="1:38" s="32" customFormat="1" x14ac:dyDescent="0.2">
      <c r="A164" s="29">
        <f t="shared" si="2"/>
        <v>162</v>
      </c>
      <c r="B164" s="27"/>
      <c r="C164" s="27"/>
      <c r="D164" s="27"/>
      <c r="E164" s="27"/>
      <c r="F164" s="27"/>
      <c r="G164" s="27"/>
      <c r="H164" s="27"/>
      <c r="I164" s="28" t="s">
        <v>37</v>
      </c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7" t="s">
        <v>97</v>
      </c>
      <c r="AI164" s="27"/>
      <c r="AJ164" s="27"/>
      <c r="AK164" s="31"/>
    </row>
    <row r="165" spans="1:38" x14ac:dyDescent="0.2">
      <c r="A165" s="12">
        <f t="shared" si="2"/>
        <v>163</v>
      </c>
      <c r="B165" s="8"/>
      <c r="C165" s="8"/>
      <c r="D165" s="8"/>
      <c r="E165" s="8"/>
      <c r="F165" s="8"/>
      <c r="G165" s="17"/>
      <c r="H165" s="8"/>
      <c r="I165" s="10" t="s">
        <v>50</v>
      </c>
      <c r="J165" s="10" t="s">
        <v>38</v>
      </c>
      <c r="K165" s="10" t="s">
        <v>38</v>
      </c>
      <c r="L165" s="10" t="s">
        <v>38</v>
      </c>
      <c r="M165" s="10" t="s">
        <v>38</v>
      </c>
      <c r="N165" s="10" t="s">
        <v>38</v>
      </c>
      <c r="O165" s="10" t="s">
        <v>38</v>
      </c>
      <c r="P165" s="10" t="s">
        <v>38</v>
      </c>
      <c r="Q165" s="10"/>
      <c r="R165" s="10" t="s">
        <v>38</v>
      </c>
      <c r="S165" s="10"/>
      <c r="T165" s="10"/>
      <c r="U165" s="10"/>
      <c r="V165" s="10"/>
      <c r="W165" s="10"/>
      <c r="X165" s="10" t="s">
        <v>38</v>
      </c>
      <c r="Y165" s="10" t="s">
        <v>38</v>
      </c>
      <c r="Z165" s="10" t="s">
        <v>38</v>
      </c>
      <c r="AA165" s="10" t="s">
        <v>38</v>
      </c>
      <c r="AB165" s="10"/>
      <c r="AC165" s="10"/>
      <c r="AD165" s="10" t="s">
        <v>38</v>
      </c>
      <c r="AE165" s="10" t="s">
        <v>38</v>
      </c>
      <c r="AF165" s="10"/>
      <c r="AG165" s="10" t="s">
        <v>38</v>
      </c>
      <c r="AH165" s="8" t="s">
        <v>331</v>
      </c>
      <c r="AI165" s="8" t="s">
        <v>40</v>
      </c>
      <c r="AJ165" s="8" t="s">
        <v>82</v>
      </c>
      <c r="AK165" s="11"/>
    </row>
    <row r="166" spans="1:38" ht="17" x14ac:dyDescent="0.2">
      <c r="A166" s="12">
        <f t="shared" si="2"/>
        <v>164</v>
      </c>
      <c r="B166" s="13"/>
      <c r="C166" s="13"/>
      <c r="D166" s="8"/>
      <c r="E166" s="8"/>
      <c r="F166" s="8"/>
      <c r="G166" s="8"/>
      <c r="H166" s="8"/>
      <c r="I166" s="10" t="s">
        <v>50</v>
      </c>
      <c r="J166" s="7" t="s">
        <v>38</v>
      </c>
      <c r="K166" s="7" t="s">
        <v>38</v>
      </c>
      <c r="L166" s="7" t="s">
        <v>38</v>
      </c>
      <c r="M166" s="7" t="s">
        <v>38</v>
      </c>
      <c r="N166" s="7" t="s">
        <v>38</v>
      </c>
      <c r="O166" s="7" t="s">
        <v>38</v>
      </c>
      <c r="P166" s="7" t="s">
        <v>38</v>
      </c>
      <c r="Q166" s="7" t="s">
        <v>38</v>
      </c>
      <c r="R166" s="7" t="s">
        <v>38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 t="s">
        <v>38</v>
      </c>
      <c r="Y166" s="7">
        <v>0</v>
      </c>
      <c r="Z166" s="7" t="s">
        <v>38</v>
      </c>
      <c r="AA166" s="7" t="s">
        <v>38</v>
      </c>
      <c r="AB166" s="7">
        <v>0</v>
      </c>
      <c r="AC166" s="7" t="s">
        <v>332</v>
      </c>
      <c r="AD166" s="7" t="s">
        <v>38</v>
      </c>
      <c r="AE166" s="7" t="s">
        <v>38</v>
      </c>
      <c r="AF166" s="7">
        <v>0</v>
      </c>
      <c r="AG166" s="7">
        <v>0</v>
      </c>
      <c r="AH166" s="8" t="s">
        <v>43</v>
      </c>
      <c r="AI166" s="8" t="s">
        <v>40</v>
      </c>
      <c r="AJ166" s="8" t="s">
        <v>44</v>
      </c>
      <c r="AK166" s="11" t="s">
        <v>333</v>
      </c>
    </row>
    <row r="167" spans="1:38" x14ac:dyDescent="0.2">
      <c r="A167" s="12">
        <f t="shared" si="2"/>
        <v>165</v>
      </c>
      <c r="B167" s="8"/>
      <c r="C167" s="8"/>
      <c r="D167" s="17"/>
      <c r="E167" s="8"/>
      <c r="F167" s="8"/>
      <c r="G167" s="17"/>
      <c r="H167" s="8"/>
      <c r="I167" s="10" t="s">
        <v>50</v>
      </c>
      <c r="J167" s="10" t="s">
        <v>38</v>
      </c>
      <c r="K167" s="10"/>
      <c r="L167" s="10" t="s">
        <v>38</v>
      </c>
      <c r="M167" s="10" t="s">
        <v>38</v>
      </c>
      <c r="N167" s="10"/>
      <c r="O167" s="10" t="s">
        <v>38</v>
      </c>
      <c r="P167" s="10"/>
      <c r="Q167" s="10"/>
      <c r="R167" s="10" t="s">
        <v>38</v>
      </c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 t="s">
        <v>334</v>
      </c>
      <c r="AD167" s="10"/>
      <c r="AE167" s="10"/>
      <c r="AF167" s="10"/>
      <c r="AG167" s="10"/>
      <c r="AH167" s="8" t="s">
        <v>77</v>
      </c>
      <c r="AI167" s="8" t="s">
        <v>40</v>
      </c>
      <c r="AJ167" s="8" t="s">
        <v>77</v>
      </c>
      <c r="AK167" s="11"/>
      <c r="AL167" s="26"/>
    </row>
    <row r="168" spans="1:38" x14ac:dyDescent="0.2">
      <c r="A168" s="12">
        <f t="shared" si="2"/>
        <v>166</v>
      </c>
      <c r="B168" s="8"/>
      <c r="C168" s="13"/>
      <c r="D168" s="8"/>
      <c r="E168" s="11"/>
      <c r="F168" s="11"/>
      <c r="G168" s="11"/>
      <c r="H168" s="8"/>
      <c r="I168" s="7" t="s">
        <v>114</v>
      </c>
      <c r="J168" s="7" t="s">
        <v>38</v>
      </c>
      <c r="K168" s="7" t="s">
        <v>38</v>
      </c>
      <c r="L168" s="7" t="s">
        <v>38</v>
      </c>
      <c r="M168" s="7" t="s">
        <v>38</v>
      </c>
      <c r="N168" s="7" t="s">
        <v>38</v>
      </c>
      <c r="O168" s="7"/>
      <c r="P168" s="7" t="s">
        <v>38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 t="s">
        <v>335</v>
      </c>
      <c r="AD168" s="7" t="s">
        <v>38</v>
      </c>
      <c r="AE168" s="7">
        <v>0</v>
      </c>
      <c r="AF168" s="7">
        <v>0</v>
      </c>
      <c r="AG168" s="7">
        <v>0</v>
      </c>
      <c r="AH168" s="8" t="s">
        <v>46</v>
      </c>
      <c r="AI168" s="8" t="s">
        <v>40</v>
      </c>
      <c r="AJ168" s="8" t="s">
        <v>82</v>
      </c>
      <c r="AK168" s="11"/>
    </row>
    <row r="169" spans="1:38" ht="50" customHeight="1" x14ac:dyDescent="0.2">
      <c r="A169" s="12">
        <f t="shared" si="2"/>
        <v>167</v>
      </c>
      <c r="B169" s="8"/>
      <c r="C169" s="8"/>
      <c r="D169" s="17"/>
      <c r="E169" s="8"/>
      <c r="F169" s="8"/>
      <c r="G169" s="17"/>
      <c r="H169" s="8"/>
      <c r="I169" s="10" t="s">
        <v>50</v>
      </c>
      <c r="J169" s="10" t="s">
        <v>38</v>
      </c>
      <c r="K169" s="10" t="s">
        <v>38</v>
      </c>
      <c r="L169" s="10" t="s">
        <v>38</v>
      </c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 t="s">
        <v>38</v>
      </c>
      <c r="Y169" s="10" t="s">
        <v>38</v>
      </c>
      <c r="Z169" s="10" t="s">
        <v>38</v>
      </c>
      <c r="AA169" s="10" t="s">
        <v>38</v>
      </c>
      <c r="AB169" s="10" t="s">
        <v>38</v>
      </c>
      <c r="AC169" s="10"/>
      <c r="AD169" s="10" t="s">
        <v>38</v>
      </c>
      <c r="AE169" s="10" t="s">
        <v>38</v>
      </c>
      <c r="AF169" s="10" t="s">
        <v>38</v>
      </c>
      <c r="AG169" s="10"/>
      <c r="AH169" s="8" t="s">
        <v>336</v>
      </c>
      <c r="AI169" s="8" t="s">
        <v>40</v>
      </c>
      <c r="AJ169" s="8" t="s">
        <v>337</v>
      </c>
      <c r="AK169" s="11" t="s">
        <v>338</v>
      </c>
    </row>
    <row r="170" spans="1:38" x14ac:dyDescent="0.2">
      <c r="A170" s="12">
        <f t="shared" si="2"/>
        <v>168</v>
      </c>
      <c r="B170" s="8"/>
      <c r="C170" s="13"/>
      <c r="D170" s="8"/>
      <c r="E170" s="8"/>
      <c r="F170" s="8"/>
      <c r="G170" s="8"/>
      <c r="H170" s="8"/>
      <c r="I170" s="7" t="s">
        <v>114</v>
      </c>
      <c r="J170" s="7" t="s">
        <v>38</v>
      </c>
      <c r="K170" s="7" t="s">
        <v>38</v>
      </c>
      <c r="L170" s="7" t="s">
        <v>38</v>
      </c>
      <c r="M170" s="7" t="s">
        <v>38</v>
      </c>
      <c r="N170" s="7" t="s">
        <v>38</v>
      </c>
      <c r="O170" s="7" t="s">
        <v>38</v>
      </c>
      <c r="P170" s="7" t="s">
        <v>38</v>
      </c>
      <c r="Q170" s="7" t="s">
        <v>38</v>
      </c>
      <c r="R170" s="7" t="s">
        <v>38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8" t="s">
        <v>93</v>
      </c>
      <c r="AI170" s="8" t="s">
        <v>47</v>
      </c>
      <c r="AJ170" s="8" t="s">
        <v>66</v>
      </c>
      <c r="AK170" s="11"/>
    </row>
    <row r="171" spans="1:38" s="32" customFormat="1" ht="17" x14ac:dyDescent="0.2">
      <c r="A171" s="29">
        <f t="shared" si="2"/>
        <v>169</v>
      </c>
      <c r="B171" s="27"/>
      <c r="C171" s="33"/>
      <c r="D171" s="27"/>
      <c r="E171" s="27"/>
      <c r="F171" s="27"/>
      <c r="G171" s="27"/>
      <c r="H171" s="27"/>
      <c r="I171" s="28" t="s">
        <v>50</v>
      </c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7" t="s">
        <v>43</v>
      </c>
      <c r="AI171" s="27" t="s">
        <v>40</v>
      </c>
      <c r="AJ171" s="27" t="s">
        <v>44</v>
      </c>
      <c r="AK171" s="31" t="s">
        <v>339</v>
      </c>
    </row>
    <row r="172" spans="1:38" x14ac:dyDescent="0.2">
      <c r="A172" s="12">
        <f t="shared" si="2"/>
        <v>170</v>
      </c>
      <c r="B172" s="8"/>
      <c r="C172" s="13"/>
      <c r="D172" s="17"/>
      <c r="E172" s="8"/>
      <c r="F172" s="8"/>
      <c r="G172" s="8"/>
      <c r="H172" s="8"/>
      <c r="I172" s="7" t="s">
        <v>37</v>
      </c>
      <c r="J172" s="7" t="s">
        <v>38</v>
      </c>
      <c r="K172" s="7" t="s">
        <v>38</v>
      </c>
      <c r="L172" s="7"/>
      <c r="M172" s="7" t="s">
        <v>38</v>
      </c>
      <c r="N172" s="7" t="s">
        <v>38</v>
      </c>
      <c r="O172" s="7"/>
      <c r="P172" s="7" t="s">
        <v>340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 t="s">
        <v>341</v>
      </c>
      <c r="AD172" s="7" t="s">
        <v>38</v>
      </c>
      <c r="AE172" s="7">
        <v>0</v>
      </c>
      <c r="AF172" s="7">
        <v>0</v>
      </c>
      <c r="AG172" s="7">
        <v>0</v>
      </c>
      <c r="AH172" s="8" t="s">
        <v>213</v>
      </c>
      <c r="AI172" s="8" t="s">
        <v>40</v>
      </c>
      <c r="AJ172" s="8" t="s">
        <v>342</v>
      </c>
      <c r="AK172" s="11"/>
    </row>
    <row r="173" spans="1:38" ht="17" x14ac:dyDescent="0.2">
      <c r="A173" s="12">
        <f t="shared" si="2"/>
        <v>171</v>
      </c>
      <c r="B173" s="8"/>
      <c r="C173" s="13"/>
      <c r="D173" s="8"/>
      <c r="E173" s="8"/>
      <c r="F173" s="8"/>
      <c r="G173" s="8"/>
      <c r="H173" s="8"/>
      <c r="I173" s="7" t="s">
        <v>37</v>
      </c>
      <c r="J173" s="7" t="s">
        <v>38</v>
      </c>
      <c r="K173" s="7" t="s">
        <v>340</v>
      </c>
      <c r="L173" s="7"/>
      <c r="M173" s="7" t="s">
        <v>38</v>
      </c>
      <c r="N173" s="7" t="s">
        <v>38</v>
      </c>
      <c r="O173" s="7"/>
      <c r="P173" s="7" t="s">
        <v>340</v>
      </c>
      <c r="Q173" s="7">
        <v>0</v>
      </c>
      <c r="R173" s="7" t="s">
        <v>38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 t="s">
        <v>343</v>
      </c>
      <c r="AD173" s="7" t="s">
        <v>38</v>
      </c>
      <c r="AE173" s="7">
        <v>0</v>
      </c>
      <c r="AF173" s="7">
        <v>0</v>
      </c>
      <c r="AG173" s="7">
        <v>0</v>
      </c>
      <c r="AH173" s="8" t="s">
        <v>81</v>
      </c>
      <c r="AI173" s="8" t="s">
        <v>40</v>
      </c>
      <c r="AJ173" s="8" t="s">
        <v>82</v>
      </c>
      <c r="AK173" s="11" t="s">
        <v>344</v>
      </c>
    </row>
    <row r="174" spans="1:38" ht="17" x14ac:dyDescent="0.2">
      <c r="A174" s="12">
        <f t="shared" si="2"/>
        <v>172</v>
      </c>
      <c r="B174" s="13"/>
      <c r="C174" s="13"/>
      <c r="D174" s="8"/>
      <c r="E174" s="8"/>
      <c r="F174" s="8"/>
      <c r="G174" s="8"/>
      <c r="H174" s="8"/>
      <c r="I174" s="10" t="s">
        <v>50</v>
      </c>
      <c r="J174" s="7"/>
      <c r="K174" s="7"/>
      <c r="L174" s="7"/>
      <c r="M174" s="7"/>
      <c r="N174" s="7"/>
      <c r="O174" s="7"/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 t="s">
        <v>345</v>
      </c>
      <c r="AD174" s="7" t="s">
        <v>38</v>
      </c>
      <c r="AE174" s="7" t="s">
        <v>38</v>
      </c>
      <c r="AF174" s="7" t="s">
        <v>38</v>
      </c>
      <c r="AG174" s="7">
        <v>0</v>
      </c>
      <c r="AH174" s="8" t="s">
        <v>82</v>
      </c>
      <c r="AI174" s="8" t="s">
        <v>56</v>
      </c>
      <c r="AJ174" s="8" t="s">
        <v>82</v>
      </c>
      <c r="AK174" s="11" t="s">
        <v>346</v>
      </c>
    </row>
    <row r="175" spans="1:38" x14ac:dyDescent="0.2">
      <c r="A175" s="12">
        <f t="shared" si="2"/>
        <v>173</v>
      </c>
      <c r="B175" s="8"/>
      <c r="C175" s="13"/>
      <c r="D175" s="8"/>
      <c r="E175" s="8"/>
      <c r="F175" s="8"/>
      <c r="G175" s="8"/>
      <c r="H175" s="8"/>
      <c r="I175" s="7" t="s">
        <v>37</v>
      </c>
      <c r="J175" s="7" t="s">
        <v>38</v>
      </c>
      <c r="K175" s="7" t="s">
        <v>38</v>
      </c>
      <c r="L175" s="7"/>
      <c r="M175" s="7" t="s">
        <v>38</v>
      </c>
      <c r="N175" s="7" t="s">
        <v>38</v>
      </c>
      <c r="O175" s="7"/>
      <c r="P175" s="7" t="s">
        <v>38</v>
      </c>
      <c r="Q175" s="7" t="s">
        <v>38</v>
      </c>
      <c r="R175" s="7" t="s">
        <v>38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 t="s">
        <v>347</v>
      </c>
      <c r="AD175" s="7" t="s">
        <v>38</v>
      </c>
      <c r="AE175" s="7">
        <v>0</v>
      </c>
      <c r="AF175" s="7">
        <v>0</v>
      </c>
      <c r="AG175" s="7">
        <v>0</v>
      </c>
      <c r="AH175" s="8" t="s">
        <v>70</v>
      </c>
      <c r="AI175" s="8" t="s">
        <v>40</v>
      </c>
      <c r="AJ175" s="8" t="s">
        <v>348</v>
      </c>
      <c r="AK175" s="11"/>
    </row>
    <row r="176" spans="1:38" x14ac:dyDescent="0.2">
      <c r="A176" s="12">
        <f t="shared" si="2"/>
        <v>174</v>
      </c>
      <c r="B176" s="8"/>
      <c r="C176" s="13"/>
      <c r="D176" s="8"/>
      <c r="E176" s="8"/>
      <c r="F176" s="8"/>
      <c r="G176" s="8"/>
      <c r="H176" s="8"/>
      <c r="I176" s="7" t="s">
        <v>37</v>
      </c>
      <c r="J176" s="7"/>
      <c r="K176" s="7" t="s">
        <v>38</v>
      </c>
      <c r="L176" s="7"/>
      <c r="M176" s="7"/>
      <c r="N176" s="7" t="s">
        <v>38</v>
      </c>
      <c r="O176" s="7"/>
      <c r="P176" s="7" t="s">
        <v>38</v>
      </c>
      <c r="Q176" s="7" t="s">
        <v>38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 t="s">
        <v>38</v>
      </c>
      <c r="AE176" s="7">
        <v>0</v>
      </c>
      <c r="AF176" s="7">
        <v>0</v>
      </c>
      <c r="AG176" s="7">
        <v>0</v>
      </c>
      <c r="AH176" s="8" t="s">
        <v>66</v>
      </c>
      <c r="AI176" s="8" t="s">
        <v>40</v>
      </c>
      <c r="AJ176" s="8" t="s">
        <v>66</v>
      </c>
      <c r="AK176" s="11"/>
    </row>
    <row r="177" spans="1:37" ht="68" x14ac:dyDescent="0.2">
      <c r="A177" s="12">
        <f t="shared" si="2"/>
        <v>175</v>
      </c>
      <c r="B177" s="8"/>
      <c r="C177" s="13"/>
      <c r="D177" s="8"/>
      <c r="E177" s="8"/>
      <c r="F177" s="8"/>
      <c r="G177" s="8"/>
      <c r="H177" s="8"/>
      <c r="I177" s="10" t="s">
        <v>50</v>
      </c>
      <c r="J177" s="7" t="s">
        <v>38</v>
      </c>
      <c r="K177" s="7" t="s">
        <v>38</v>
      </c>
      <c r="L177" s="7"/>
      <c r="M177" s="7" t="s">
        <v>38</v>
      </c>
      <c r="N177" s="7" t="s">
        <v>38</v>
      </c>
      <c r="O177" s="7"/>
      <c r="P177" s="7" t="s">
        <v>38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 t="s">
        <v>349</v>
      </c>
      <c r="AD177" s="7" t="s">
        <v>38</v>
      </c>
      <c r="AE177" s="7">
        <v>0</v>
      </c>
      <c r="AF177" s="7">
        <v>0</v>
      </c>
      <c r="AG177" s="7">
        <v>0</v>
      </c>
      <c r="AH177" s="8" t="s">
        <v>81</v>
      </c>
      <c r="AI177" s="8" t="s">
        <v>40</v>
      </c>
      <c r="AJ177" s="8" t="s">
        <v>82</v>
      </c>
      <c r="AK177" s="11" t="s">
        <v>350</v>
      </c>
    </row>
    <row r="178" spans="1:37" ht="34" x14ac:dyDescent="0.2">
      <c r="A178" s="12">
        <f t="shared" si="2"/>
        <v>176</v>
      </c>
      <c r="B178" s="8"/>
      <c r="C178" s="13"/>
      <c r="D178" s="17"/>
      <c r="E178" s="8"/>
      <c r="F178" s="8"/>
      <c r="G178" s="8"/>
      <c r="H178" s="8"/>
      <c r="I178" s="7" t="s">
        <v>37</v>
      </c>
      <c r="J178" s="7" t="s">
        <v>38</v>
      </c>
      <c r="K178" s="7" t="s">
        <v>38</v>
      </c>
      <c r="L178" s="7"/>
      <c r="M178" s="7" t="s">
        <v>38</v>
      </c>
      <c r="N178" s="7" t="s">
        <v>38</v>
      </c>
      <c r="O178" s="7" t="s">
        <v>38</v>
      </c>
      <c r="P178" s="7" t="s">
        <v>38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 t="s">
        <v>38</v>
      </c>
      <c r="AE178" s="7">
        <v>0</v>
      </c>
      <c r="AF178" s="7">
        <v>0</v>
      </c>
      <c r="AG178" s="7">
        <v>0</v>
      </c>
      <c r="AH178" s="8" t="s">
        <v>351</v>
      </c>
      <c r="AI178" s="8" t="s">
        <v>40</v>
      </c>
      <c r="AJ178" s="8" t="s">
        <v>352</v>
      </c>
      <c r="AK178" s="11" t="s">
        <v>353</v>
      </c>
    </row>
    <row r="179" spans="1:37" ht="17" x14ac:dyDescent="0.2">
      <c r="A179" s="12">
        <f t="shared" si="2"/>
        <v>177</v>
      </c>
      <c r="B179" s="8"/>
      <c r="C179" s="13"/>
      <c r="D179" s="8"/>
      <c r="E179" s="8"/>
      <c r="F179" s="8"/>
      <c r="G179" s="11"/>
      <c r="H179" s="8"/>
      <c r="I179" s="7" t="s">
        <v>37</v>
      </c>
      <c r="J179" s="7" t="s">
        <v>38</v>
      </c>
      <c r="K179" s="7" t="s">
        <v>38</v>
      </c>
      <c r="L179" s="7"/>
      <c r="M179" s="7" t="s">
        <v>38</v>
      </c>
      <c r="N179" s="7" t="s">
        <v>38</v>
      </c>
      <c r="O179" s="7" t="s">
        <v>38</v>
      </c>
      <c r="P179" s="7" t="s">
        <v>38</v>
      </c>
      <c r="Q179" s="7" t="s">
        <v>38</v>
      </c>
      <c r="R179" s="7" t="s">
        <v>38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 t="s">
        <v>354</v>
      </c>
      <c r="AD179" s="7" t="s">
        <v>38</v>
      </c>
      <c r="AE179" s="7">
        <v>0</v>
      </c>
      <c r="AF179" s="7">
        <v>0</v>
      </c>
      <c r="AG179" s="7">
        <v>0</v>
      </c>
      <c r="AH179" s="8" t="s">
        <v>81</v>
      </c>
      <c r="AI179" s="8" t="s">
        <v>40</v>
      </c>
      <c r="AJ179" s="8" t="s">
        <v>82</v>
      </c>
      <c r="AK179" s="11" t="s">
        <v>355</v>
      </c>
    </row>
    <row r="180" spans="1:37" x14ac:dyDescent="0.2">
      <c r="A180" s="12">
        <f t="shared" si="2"/>
        <v>178</v>
      </c>
      <c r="B180" s="8"/>
      <c r="C180" s="13"/>
      <c r="D180" s="8"/>
      <c r="E180" s="8"/>
      <c r="F180" s="8"/>
      <c r="G180" s="8"/>
      <c r="H180" s="8"/>
      <c r="I180" s="7" t="s">
        <v>37</v>
      </c>
      <c r="J180" s="7" t="s">
        <v>38</v>
      </c>
      <c r="K180" s="7" t="s">
        <v>38</v>
      </c>
      <c r="L180" s="7"/>
      <c r="M180" s="7" t="s">
        <v>38</v>
      </c>
      <c r="N180" s="7" t="s">
        <v>38</v>
      </c>
      <c r="O180" s="7"/>
      <c r="P180" s="7" t="s">
        <v>38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 t="s">
        <v>356</v>
      </c>
      <c r="AD180" s="7" t="s">
        <v>38</v>
      </c>
      <c r="AE180" s="7">
        <v>0</v>
      </c>
      <c r="AF180" s="7">
        <v>0</v>
      </c>
      <c r="AG180" s="7">
        <v>0</v>
      </c>
      <c r="AH180" s="8" t="s">
        <v>46</v>
      </c>
      <c r="AI180" s="8" t="s">
        <v>40</v>
      </c>
      <c r="AJ180" s="8" t="s">
        <v>357</v>
      </c>
      <c r="AK180" s="11"/>
    </row>
    <row r="181" spans="1:37" x14ac:dyDescent="0.2">
      <c r="A181" s="12">
        <f t="shared" si="2"/>
        <v>179</v>
      </c>
      <c r="B181" s="8"/>
      <c r="C181" s="13"/>
      <c r="D181" s="17"/>
      <c r="E181" s="8"/>
      <c r="F181" s="8"/>
      <c r="G181" s="8"/>
      <c r="H181" s="8"/>
      <c r="I181" s="10" t="s">
        <v>50</v>
      </c>
      <c r="J181" s="7" t="s">
        <v>38</v>
      </c>
      <c r="K181" s="7" t="s">
        <v>38</v>
      </c>
      <c r="L181" s="7" t="s">
        <v>38</v>
      </c>
      <c r="M181" s="7" t="s">
        <v>38</v>
      </c>
      <c r="N181" s="7" t="s">
        <v>38</v>
      </c>
      <c r="O181" s="7" t="s">
        <v>38</v>
      </c>
      <c r="P181" s="7" t="s">
        <v>38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 t="s">
        <v>38</v>
      </c>
      <c r="AE181" s="7" t="s">
        <v>38</v>
      </c>
      <c r="AF181" s="7">
        <v>0</v>
      </c>
      <c r="AG181" s="7" t="s">
        <v>38</v>
      </c>
      <c r="AH181" s="8" t="s">
        <v>328</v>
      </c>
      <c r="AI181" s="8" t="s">
        <v>47</v>
      </c>
      <c r="AJ181" s="8" t="s">
        <v>328</v>
      </c>
      <c r="AK181" s="11"/>
    </row>
    <row r="182" spans="1:37" ht="102" x14ac:dyDescent="0.2">
      <c r="A182" s="12">
        <f t="shared" si="2"/>
        <v>180</v>
      </c>
      <c r="B182" s="8"/>
      <c r="C182" s="8"/>
      <c r="D182" s="8"/>
      <c r="E182" s="8"/>
      <c r="F182" s="8"/>
      <c r="G182" s="9"/>
      <c r="H182" s="11"/>
      <c r="I182" s="10" t="s">
        <v>37</v>
      </c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8" t="s">
        <v>81</v>
      </c>
      <c r="AI182" s="8"/>
      <c r="AJ182" s="8" t="s">
        <v>82</v>
      </c>
      <c r="AK182" s="11" t="s">
        <v>358</v>
      </c>
    </row>
    <row r="183" spans="1:37" ht="17" x14ac:dyDescent="0.2">
      <c r="A183" s="12">
        <f t="shared" si="2"/>
        <v>181</v>
      </c>
      <c r="B183" s="13"/>
      <c r="C183" s="13"/>
      <c r="D183" s="8"/>
      <c r="E183" s="8"/>
      <c r="F183" s="8"/>
      <c r="G183" s="8"/>
      <c r="H183" s="8"/>
      <c r="I183" s="10" t="s">
        <v>50</v>
      </c>
      <c r="J183" s="7"/>
      <c r="K183" s="7"/>
      <c r="L183" s="7"/>
      <c r="M183" s="7"/>
      <c r="N183" s="7"/>
      <c r="O183" s="7"/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 t="s">
        <v>359</v>
      </c>
      <c r="AD183" s="7">
        <v>0</v>
      </c>
      <c r="AE183" s="7" t="s">
        <v>38</v>
      </c>
      <c r="AF183" s="7">
        <v>0</v>
      </c>
      <c r="AG183" s="7">
        <v>0</v>
      </c>
      <c r="AH183" s="8" t="s">
        <v>43</v>
      </c>
      <c r="AI183" s="8" t="s">
        <v>40</v>
      </c>
      <c r="AJ183" s="8" t="s">
        <v>360</v>
      </c>
      <c r="AK183" s="11" t="s">
        <v>361</v>
      </c>
    </row>
    <row r="184" spans="1:37" ht="136" x14ac:dyDescent="0.2">
      <c r="A184" s="12">
        <f t="shared" si="2"/>
        <v>182</v>
      </c>
      <c r="B184" s="8"/>
      <c r="C184" s="13"/>
      <c r="D184" s="8"/>
      <c r="E184" s="8"/>
      <c r="F184" s="8"/>
      <c r="G184" s="8"/>
      <c r="H184" s="8"/>
      <c r="I184" s="7" t="s">
        <v>50</v>
      </c>
      <c r="J184" s="7" t="s">
        <v>38</v>
      </c>
      <c r="K184" s="7" t="s">
        <v>38</v>
      </c>
      <c r="L184" s="7" t="s">
        <v>38</v>
      </c>
      <c r="M184" s="7" t="s">
        <v>38</v>
      </c>
      <c r="N184" s="7" t="s">
        <v>38</v>
      </c>
      <c r="O184" s="7"/>
      <c r="P184" s="7" t="s">
        <v>38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 t="s">
        <v>362</v>
      </c>
      <c r="AD184" s="7" t="s">
        <v>38</v>
      </c>
      <c r="AE184" s="7">
        <v>0</v>
      </c>
      <c r="AF184" s="7">
        <v>0</v>
      </c>
      <c r="AG184" s="7">
        <v>0</v>
      </c>
      <c r="AH184" s="8" t="s">
        <v>81</v>
      </c>
      <c r="AI184" s="8" t="s">
        <v>40</v>
      </c>
      <c r="AJ184" s="8" t="s">
        <v>82</v>
      </c>
      <c r="AK184" s="11" t="s">
        <v>363</v>
      </c>
    </row>
    <row r="185" spans="1:37" ht="17" x14ac:dyDescent="0.2">
      <c r="A185" s="12">
        <f t="shared" si="2"/>
        <v>183</v>
      </c>
      <c r="B185" s="13"/>
      <c r="C185" s="13"/>
      <c r="D185" s="8"/>
      <c r="E185" s="8"/>
      <c r="F185" s="8"/>
      <c r="G185" s="8"/>
      <c r="H185" s="8"/>
      <c r="I185" s="10" t="s">
        <v>50</v>
      </c>
      <c r="J185" s="7" t="s">
        <v>38</v>
      </c>
      <c r="K185" s="7" t="s">
        <v>38</v>
      </c>
      <c r="L185" s="7" t="s">
        <v>38</v>
      </c>
      <c r="M185" s="7" t="s">
        <v>38</v>
      </c>
      <c r="N185" s="7" t="s">
        <v>38</v>
      </c>
      <c r="O185" s="7" t="s">
        <v>38</v>
      </c>
      <c r="P185" s="7" t="s">
        <v>38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 t="s">
        <v>38</v>
      </c>
      <c r="AE185" s="7" t="s">
        <v>38</v>
      </c>
      <c r="AF185" s="7" t="s">
        <v>38</v>
      </c>
      <c r="AG185" s="7" t="s">
        <v>38</v>
      </c>
      <c r="AH185" s="8" t="s">
        <v>220</v>
      </c>
      <c r="AI185" s="8" t="s">
        <v>47</v>
      </c>
      <c r="AJ185" s="8" t="s">
        <v>220</v>
      </c>
      <c r="AK185" s="11" t="s">
        <v>364</v>
      </c>
    </row>
    <row r="186" spans="1:37" ht="17" x14ac:dyDescent="0.2">
      <c r="A186" s="12">
        <f t="shared" si="2"/>
        <v>184</v>
      </c>
      <c r="B186" s="8"/>
      <c r="C186" s="8"/>
      <c r="D186" s="17"/>
      <c r="E186" s="37"/>
      <c r="F186" s="37"/>
      <c r="G186" s="17"/>
      <c r="H186" s="8"/>
      <c r="I186" s="10" t="s">
        <v>50</v>
      </c>
      <c r="J186" s="10"/>
      <c r="K186" s="10" t="s">
        <v>38</v>
      </c>
      <c r="L186" s="10"/>
      <c r="M186" s="10" t="s">
        <v>38</v>
      </c>
      <c r="N186" s="10" t="s">
        <v>38</v>
      </c>
      <c r="O186" s="10" t="s">
        <v>38</v>
      </c>
      <c r="P186" s="10" t="s">
        <v>38</v>
      </c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 t="s">
        <v>38</v>
      </c>
      <c r="AE186" s="10"/>
      <c r="AF186" s="10"/>
      <c r="AG186" s="10" t="s">
        <v>38</v>
      </c>
      <c r="AH186" s="8" t="s">
        <v>82</v>
      </c>
      <c r="AI186" s="8" t="s">
        <v>40</v>
      </c>
      <c r="AJ186" s="8" t="s">
        <v>82</v>
      </c>
      <c r="AK186" s="11" t="s">
        <v>365</v>
      </c>
    </row>
    <row r="187" spans="1:37" ht="17" x14ac:dyDescent="0.2">
      <c r="A187" s="12">
        <f t="shared" si="2"/>
        <v>185</v>
      </c>
      <c r="B187" s="8"/>
      <c r="C187" s="13"/>
      <c r="D187" s="8"/>
      <c r="E187" s="8"/>
      <c r="F187" s="8"/>
      <c r="G187" s="11"/>
      <c r="H187" s="8"/>
      <c r="I187" s="7" t="s">
        <v>37</v>
      </c>
      <c r="J187" s="7" t="s">
        <v>38</v>
      </c>
      <c r="K187" s="7" t="s">
        <v>38</v>
      </c>
      <c r="L187" s="7"/>
      <c r="M187" s="7" t="s">
        <v>38</v>
      </c>
      <c r="N187" s="7" t="s">
        <v>38</v>
      </c>
      <c r="O187" s="7"/>
      <c r="P187" s="7" t="s">
        <v>38</v>
      </c>
      <c r="Q187" s="7" t="s">
        <v>38</v>
      </c>
      <c r="R187" s="7" t="s">
        <v>38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 t="s">
        <v>38</v>
      </c>
      <c r="Y187" s="7" t="s">
        <v>38</v>
      </c>
      <c r="Z187" s="7" t="s">
        <v>38</v>
      </c>
      <c r="AA187" s="7" t="s">
        <v>38</v>
      </c>
      <c r="AB187" s="7">
        <v>0</v>
      </c>
      <c r="AC187" s="7">
        <v>0</v>
      </c>
      <c r="AD187" s="7" t="s">
        <v>38</v>
      </c>
      <c r="AE187" s="7">
        <v>0</v>
      </c>
      <c r="AF187" s="7" t="s">
        <v>38</v>
      </c>
      <c r="AG187" s="7">
        <v>0</v>
      </c>
      <c r="AH187" s="8" t="s">
        <v>46</v>
      </c>
      <c r="AI187" s="8" t="s">
        <v>47</v>
      </c>
      <c r="AJ187" s="8" t="s">
        <v>82</v>
      </c>
      <c r="AK187" s="11" t="s">
        <v>366</v>
      </c>
    </row>
    <row r="188" spans="1:37" ht="17" x14ac:dyDescent="0.2">
      <c r="A188" s="12">
        <f t="shared" si="2"/>
        <v>186</v>
      </c>
      <c r="B188" s="8"/>
      <c r="C188" s="8"/>
      <c r="D188" s="8"/>
      <c r="E188" s="8"/>
      <c r="F188" s="8"/>
      <c r="G188" s="17"/>
      <c r="H188" s="8"/>
      <c r="I188" s="10" t="s">
        <v>37</v>
      </c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8" t="s">
        <v>81</v>
      </c>
      <c r="AI188" s="8" t="s">
        <v>40</v>
      </c>
      <c r="AJ188" s="8" t="s">
        <v>82</v>
      </c>
      <c r="AK188" s="11" t="s">
        <v>367</v>
      </c>
    </row>
    <row r="189" spans="1:37" x14ac:dyDescent="0.2">
      <c r="A189" s="12">
        <f t="shared" si="2"/>
        <v>187</v>
      </c>
      <c r="B189" s="8"/>
      <c r="C189" s="13"/>
      <c r="D189" s="8"/>
      <c r="E189" s="8"/>
      <c r="F189" s="8"/>
      <c r="G189" s="9"/>
      <c r="H189" s="8"/>
      <c r="I189" s="7" t="s">
        <v>37</v>
      </c>
      <c r="J189" s="7" t="s">
        <v>38</v>
      </c>
      <c r="K189" s="7" t="s">
        <v>38</v>
      </c>
      <c r="L189" s="7" t="s">
        <v>38</v>
      </c>
      <c r="M189" s="7" t="s">
        <v>38</v>
      </c>
      <c r="N189" s="7" t="s">
        <v>38</v>
      </c>
      <c r="O189" s="7" t="s">
        <v>38</v>
      </c>
      <c r="P189" s="7" t="s">
        <v>38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 t="s">
        <v>38</v>
      </c>
      <c r="Y189" s="7" t="s">
        <v>38</v>
      </c>
      <c r="Z189" s="7" t="s">
        <v>38</v>
      </c>
      <c r="AA189" s="7" t="s">
        <v>38</v>
      </c>
      <c r="AB189" s="7">
        <v>0</v>
      </c>
      <c r="AC189" s="7">
        <v>0</v>
      </c>
      <c r="AD189" s="7" t="s">
        <v>38</v>
      </c>
      <c r="AE189" s="7">
        <v>0</v>
      </c>
      <c r="AF189" s="7">
        <v>0</v>
      </c>
      <c r="AG189" s="7">
        <v>0</v>
      </c>
      <c r="AH189" s="8" t="s">
        <v>368</v>
      </c>
      <c r="AI189" s="8" t="s">
        <v>40</v>
      </c>
      <c r="AJ189" s="8" t="s">
        <v>276</v>
      </c>
      <c r="AK189" s="11"/>
    </row>
    <row r="190" spans="1:37" ht="17" x14ac:dyDescent="0.2">
      <c r="A190" s="12">
        <f t="shared" si="2"/>
        <v>188</v>
      </c>
      <c r="B190" s="8"/>
      <c r="C190" s="13"/>
      <c r="D190" s="8"/>
      <c r="E190" s="8"/>
      <c r="F190" s="8"/>
      <c r="G190" s="11"/>
      <c r="H190" s="8"/>
      <c r="I190" s="10" t="s">
        <v>50</v>
      </c>
      <c r="J190" s="7" t="s">
        <v>38</v>
      </c>
      <c r="K190" s="7" t="s">
        <v>38</v>
      </c>
      <c r="L190" s="7" t="s">
        <v>38</v>
      </c>
      <c r="M190" s="7" t="s">
        <v>38</v>
      </c>
      <c r="N190" s="7" t="s">
        <v>38</v>
      </c>
      <c r="O190" s="7" t="s">
        <v>38</v>
      </c>
      <c r="P190" s="7" t="s">
        <v>38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 t="s">
        <v>38</v>
      </c>
      <c r="AE190" s="7">
        <v>0</v>
      </c>
      <c r="AF190" s="7">
        <v>0</v>
      </c>
      <c r="AG190" s="7">
        <v>0</v>
      </c>
      <c r="AH190" s="8" t="s">
        <v>106</v>
      </c>
      <c r="AI190" s="8" t="s">
        <v>40</v>
      </c>
      <c r="AJ190" s="8" t="s">
        <v>106</v>
      </c>
      <c r="AK190" s="11" t="s">
        <v>369</v>
      </c>
    </row>
    <row r="191" spans="1:37" ht="17" x14ac:dyDescent="0.2">
      <c r="A191" s="12">
        <f t="shared" si="2"/>
        <v>189</v>
      </c>
      <c r="B191" s="8"/>
      <c r="C191" s="8"/>
      <c r="D191" s="9"/>
      <c r="E191" s="8"/>
      <c r="F191" s="8"/>
      <c r="G191" s="9"/>
      <c r="H191" s="8"/>
      <c r="I191" s="10" t="s">
        <v>50</v>
      </c>
      <c r="J191" s="10"/>
      <c r="K191" s="10"/>
      <c r="L191" s="10"/>
      <c r="M191" s="10"/>
      <c r="N191" s="10"/>
      <c r="O191" s="10"/>
      <c r="P191" s="10"/>
      <c r="Q191" s="10"/>
      <c r="R191" s="10" t="s">
        <v>38</v>
      </c>
      <c r="S191" s="10"/>
      <c r="T191" s="10" t="s">
        <v>38</v>
      </c>
      <c r="U191" s="10"/>
      <c r="V191" s="10"/>
      <c r="W191" s="10"/>
      <c r="X191" s="10" t="s">
        <v>38</v>
      </c>
      <c r="Y191" s="10"/>
      <c r="Z191" s="10"/>
      <c r="AA191" s="10" t="s">
        <v>38</v>
      </c>
      <c r="AB191" s="10" t="s">
        <v>38</v>
      </c>
      <c r="AC191" s="10"/>
      <c r="AD191" s="10"/>
      <c r="AE191" s="10"/>
      <c r="AF191" s="10"/>
      <c r="AG191" s="10"/>
      <c r="AH191" s="8" t="s">
        <v>77</v>
      </c>
      <c r="AI191" s="8" t="s">
        <v>40</v>
      </c>
      <c r="AJ191" s="8" t="s">
        <v>82</v>
      </c>
      <c r="AK191" s="11" t="s">
        <v>370</v>
      </c>
    </row>
    <row r="192" spans="1:37" x14ac:dyDescent="0.2">
      <c r="A192" s="12">
        <f t="shared" si="2"/>
        <v>190</v>
      </c>
      <c r="B192" s="8"/>
      <c r="C192" s="8"/>
      <c r="D192" s="9"/>
      <c r="E192" s="8"/>
      <c r="F192" s="8"/>
      <c r="G192" s="14"/>
      <c r="H192" s="8"/>
      <c r="I192" s="10" t="s">
        <v>50</v>
      </c>
      <c r="J192" s="10"/>
      <c r="K192" s="10"/>
      <c r="L192" s="10"/>
      <c r="M192" s="10"/>
      <c r="N192" s="10"/>
      <c r="O192" s="10"/>
      <c r="P192" s="10"/>
      <c r="Q192" s="10"/>
      <c r="R192" s="10" t="s">
        <v>38</v>
      </c>
      <c r="S192" s="10"/>
      <c r="T192" s="10"/>
      <c r="U192" s="10"/>
      <c r="V192" s="10"/>
      <c r="W192" s="10"/>
      <c r="X192" s="10" t="s">
        <v>38</v>
      </c>
      <c r="Y192" s="10"/>
      <c r="Z192" s="10"/>
      <c r="AA192" s="10" t="s">
        <v>38</v>
      </c>
      <c r="AB192" s="10" t="s">
        <v>38</v>
      </c>
      <c r="AC192" s="10"/>
      <c r="AD192" s="10"/>
      <c r="AE192" s="10"/>
      <c r="AF192" s="10"/>
      <c r="AG192" s="10"/>
      <c r="AH192" s="8" t="s">
        <v>77</v>
      </c>
      <c r="AI192" s="8" t="s">
        <v>40</v>
      </c>
      <c r="AJ192" s="8" t="s">
        <v>82</v>
      </c>
      <c r="AK192" s="11"/>
    </row>
    <row r="193" spans="1:37" ht="34" x14ac:dyDescent="0.2">
      <c r="A193" s="12">
        <f t="shared" si="2"/>
        <v>191</v>
      </c>
      <c r="B193" s="8"/>
      <c r="C193" s="8"/>
      <c r="D193" s="9"/>
      <c r="E193" s="8"/>
      <c r="F193" s="8"/>
      <c r="G193" s="17"/>
      <c r="H193" s="8"/>
      <c r="I193" s="10" t="s">
        <v>50</v>
      </c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 t="s">
        <v>38</v>
      </c>
      <c r="Y193" s="10" t="s">
        <v>38</v>
      </c>
      <c r="Z193" s="10" t="s">
        <v>38</v>
      </c>
      <c r="AA193" s="10" t="s">
        <v>38</v>
      </c>
      <c r="AB193" s="10" t="s">
        <v>38</v>
      </c>
      <c r="AC193" s="10"/>
      <c r="AD193" s="10"/>
      <c r="AE193" s="10"/>
      <c r="AF193" s="10"/>
      <c r="AG193" s="10"/>
      <c r="AH193" s="11" t="s">
        <v>371</v>
      </c>
      <c r="AI193" s="11" t="s">
        <v>47</v>
      </c>
      <c r="AJ193" s="11" t="s">
        <v>372</v>
      </c>
      <c r="AK193" s="11" t="s">
        <v>373</v>
      </c>
    </row>
    <row r="194" spans="1:37" ht="17" x14ac:dyDescent="0.2">
      <c r="A194" s="12">
        <f t="shared" si="2"/>
        <v>192</v>
      </c>
      <c r="B194" s="8"/>
      <c r="C194" s="8"/>
      <c r="D194" s="9"/>
      <c r="E194" s="8"/>
      <c r="F194" s="8"/>
      <c r="G194" s="17"/>
      <c r="H194" s="8"/>
      <c r="I194" s="10" t="s">
        <v>114</v>
      </c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 t="s">
        <v>38</v>
      </c>
      <c r="Y194" s="10" t="s">
        <v>38</v>
      </c>
      <c r="Z194" s="10" t="s">
        <v>38</v>
      </c>
      <c r="AA194" s="10" t="s">
        <v>38</v>
      </c>
      <c r="AB194" s="10" t="s">
        <v>38</v>
      </c>
      <c r="AC194" s="10" t="s">
        <v>374</v>
      </c>
      <c r="AD194" s="10"/>
      <c r="AE194" s="10"/>
      <c r="AF194" s="10"/>
      <c r="AG194" s="10"/>
      <c r="AH194" s="11" t="s">
        <v>77</v>
      </c>
      <c r="AI194" s="11" t="s">
        <v>47</v>
      </c>
      <c r="AJ194" s="11" t="s">
        <v>77</v>
      </c>
      <c r="AK194" s="11"/>
    </row>
    <row r="195" spans="1:37" ht="17" x14ac:dyDescent="0.2">
      <c r="A195" s="12">
        <f t="shared" si="2"/>
        <v>193</v>
      </c>
      <c r="B195" s="8"/>
      <c r="C195" s="8"/>
      <c r="D195" s="9"/>
      <c r="E195" s="8"/>
      <c r="F195" s="8"/>
      <c r="G195" s="17"/>
      <c r="H195" s="8"/>
      <c r="I195" s="10" t="s">
        <v>114</v>
      </c>
      <c r="J195" s="10"/>
      <c r="K195" s="10"/>
      <c r="L195" s="10"/>
      <c r="M195" s="10"/>
      <c r="N195" s="10"/>
      <c r="O195" s="10"/>
      <c r="P195" s="10"/>
      <c r="Q195" s="10"/>
      <c r="R195" s="10" t="s">
        <v>38</v>
      </c>
      <c r="S195" s="10"/>
      <c r="T195" s="10"/>
      <c r="U195" s="10"/>
      <c r="V195" s="10"/>
      <c r="W195" s="10"/>
      <c r="X195" s="10" t="s">
        <v>38</v>
      </c>
      <c r="Y195" s="10"/>
      <c r="Z195" s="10"/>
      <c r="AA195" s="10" t="s">
        <v>38</v>
      </c>
      <c r="AB195" s="10" t="s">
        <v>38</v>
      </c>
      <c r="AC195" s="10"/>
      <c r="AD195" s="10"/>
      <c r="AE195" s="10"/>
      <c r="AF195" s="10"/>
      <c r="AG195" s="10"/>
      <c r="AH195" s="11" t="s">
        <v>375</v>
      </c>
      <c r="AI195" s="11" t="s">
        <v>47</v>
      </c>
      <c r="AJ195" s="11" t="s">
        <v>77</v>
      </c>
      <c r="AK195" s="11"/>
    </row>
    <row r="196" spans="1:37" ht="17" x14ac:dyDescent="0.2">
      <c r="A196" s="12">
        <f t="shared" si="2"/>
        <v>194</v>
      </c>
      <c r="B196" s="8"/>
      <c r="C196" s="8"/>
      <c r="D196" s="9"/>
      <c r="E196" s="8"/>
      <c r="F196" s="8"/>
      <c r="G196" s="17"/>
      <c r="H196" s="8"/>
      <c r="I196" s="10" t="s">
        <v>50</v>
      </c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 t="s">
        <v>38</v>
      </c>
      <c r="Y196" s="10"/>
      <c r="Z196" s="10"/>
      <c r="AA196" s="10" t="s">
        <v>38</v>
      </c>
      <c r="AB196" s="10"/>
      <c r="AC196" s="10"/>
      <c r="AD196" s="10"/>
      <c r="AE196" s="10"/>
      <c r="AF196" s="10"/>
      <c r="AG196" s="10"/>
      <c r="AH196" s="8" t="s">
        <v>204</v>
      </c>
      <c r="AI196" s="8" t="s">
        <v>40</v>
      </c>
      <c r="AJ196" s="8" t="s">
        <v>376</v>
      </c>
      <c r="AK196" s="11" t="s">
        <v>377</v>
      </c>
    </row>
    <row r="197" spans="1:37" ht="34" x14ac:dyDescent="0.2">
      <c r="A197" s="12">
        <f t="shared" ref="A197:A212" si="3">1+A196</f>
        <v>195</v>
      </c>
      <c r="B197" s="8"/>
      <c r="C197" s="8"/>
      <c r="D197" s="9"/>
      <c r="E197" s="8"/>
      <c r="F197" s="8"/>
      <c r="G197" s="17"/>
      <c r="H197" s="8"/>
      <c r="I197" s="10" t="s">
        <v>50</v>
      </c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 t="s">
        <v>38</v>
      </c>
      <c r="AC197" s="16" t="s">
        <v>378</v>
      </c>
      <c r="AD197" s="10" t="s">
        <v>38</v>
      </c>
      <c r="AE197" s="10" t="s">
        <v>38</v>
      </c>
      <c r="AF197" s="10"/>
      <c r="AG197" s="10"/>
      <c r="AH197" s="8" t="s">
        <v>379</v>
      </c>
      <c r="AI197" s="8" t="s">
        <v>40</v>
      </c>
      <c r="AJ197" s="8" t="s">
        <v>244</v>
      </c>
      <c r="AK197" s="11"/>
    </row>
    <row r="198" spans="1:37" ht="34" x14ac:dyDescent="0.2">
      <c r="A198" s="12">
        <f t="shared" si="3"/>
        <v>196</v>
      </c>
      <c r="B198" s="8"/>
      <c r="C198" s="8"/>
      <c r="D198" s="9"/>
      <c r="E198" s="8"/>
      <c r="F198" s="8"/>
      <c r="G198" s="17"/>
      <c r="H198" s="24"/>
      <c r="I198" s="10" t="s">
        <v>37</v>
      </c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6" t="s">
        <v>380</v>
      </c>
      <c r="AD198" s="10"/>
      <c r="AE198" s="10"/>
      <c r="AF198" s="10"/>
      <c r="AG198" s="10"/>
      <c r="AH198" s="8" t="s">
        <v>381</v>
      </c>
      <c r="AI198" s="8" t="s">
        <v>40</v>
      </c>
      <c r="AJ198" s="8" t="s">
        <v>381</v>
      </c>
      <c r="AK198" s="11"/>
    </row>
    <row r="199" spans="1:37" ht="34" x14ac:dyDescent="0.2">
      <c r="A199" s="12">
        <f t="shared" si="3"/>
        <v>197</v>
      </c>
      <c r="B199" s="8"/>
      <c r="C199" s="8"/>
      <c r="D199" s="9"/>
      <c r="E199" s="8"/>
      <c r="F199" s="8"/>
      <c r="G199" s="17"/>
      <c r="H199" s="38"/>
      <c r="I199" s="10" t="s">
        <v>37</v>
      </c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6" t="s">
        <v>382</v>
      </c>
      <c r="AD199" s="10"/>
      <c r="AE199" s="10"/>
      <c r="AF199" s="10"/>
      <c r="AG199" s="10"/>
      <c r="AH199" s="8" t="s">
        <v>46</v>
      </c>
      <c r="AI199" s="8" t="s">
        <v>40</v>
      </c>
      <c r="AJ199" s="8" t="s">
        <v>46</v>
      </c>
      <c r="AK199" s="11"/>
    </row>
    <row r="200" spans="1:37" x14ac:dyDescent="0.2">
      <c r="A200" s="12">
        <f t="shared" si="3"/>
        <v>198</v>
      </c>
      <c r="B200" s="8"/>
      <c r="C200" s="8"/>
      <c r="D200" s="9"/>
      <c r="E200" s="8"/>
      <c r="F200" s="8"/>
      <c r="G200" s="17"/>
      <c r="H200" s="24"/>
      <c r="I200" s="10" t="s">
        <v>50</v>
      </c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8" t="s">
        <v>383</v>
      </c>
      <c r="AI200" s="8" t="s">
        <v>40</v>
      </c>
      <c r="AJ200" s="8" t="s">
        <v>383</v>
      </c>
      <c r="AK200" s="11"/>
    </row>
    <row r="201" spans="1:37" ht="34" x14ac:dyDescent="0.2">
      <c r="A201" s="12">
        <f t="shared" si="3"/>
        <v>199</v>
      </c>
      <c r="B201" s="8"/>
      <c r="C201" s="8"/>
      <c r="D201" s="39"/>
      <c r="E201" s="8"/>
      <c r="F201" s="8"/>
      <c r="G201" s="17"/>
      <c r="H201" s="38"/>
      <c r="I201" s="10" t="s">
        <v>112</v>
      </c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 t="s">
        <v>38</v>
      </c>
      <c r="AC201" s="16" t="s">
        <v>384</v>
      </c>
      <c r="AD201" s="10"/>
      <c r="AE201" s="10"/>
      <c r="AF201" s="10"/>
      <c r="AG201" s="10"/>
      <c r="AH201" s="8" t="s">
        <v>82</v>
      </c>
      <c r="AI201" s="8" t="s">
        <v>56</v>
      </c>
      <c r="AJ201" s="8" t="s">
        <v>82</v>
      </c>
      <c r="AK201" s="11"/>
    </row>
    <row r="202" spans="1:37" ht="34" x14ac:dyDescent="0.2">
      <c r="A202" s="12">
        <f t="shared" si="3"/>
        <v>200</v>
      </c>
      <c r="B202" s="8"/>
      <c r="C202" s="8"/>
      <c r="D202" s="9"/>
      <c r="E202" s="8"/>
      <c r="F202" s="8"/>
      <c r="G202" s="17"/>
      <c r="H202" s="24"/>
      <c r="I202" s="10" t="s">
        <v>114</v>
      </c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 t="s">
        <v>38</v>
      </c>
      <c r="Y202" s="10"/>
      <c r="Z202" s="10"/>
      <c r="AA202" s="10" t="s">
        <v>38</v>
      </c>
      <c r="AB202" s="10"/>
      <c r="AC202" s="10"/>
      <c r="AD202" s="10"/>
      <c r="AE202" s="10"/>
      <c r="AF202" s="10"/>
      <c r="AG202" s="10"/>
      <c r="AH202" s="8" t="s">
        <v>82</v>
      </c>
      <c r="AI202" s="8" t="s">
        <v>47</v>
      </c>
      <c r="AJ202" s="8" t="s">
        <v>82</v>
      </c>
      <c r="AK202" s="40" t="s">
        <v>385</v>
      </c>
    </row>
    <row r="203" spans="1:37" ht="17" x14ac:dyDescent="0.2">
      <c r="A203" s="12">
        <f t="shared" si="3"/>
        <v>201</v>
      </c>
      <c r="B203" s="8"/>
      <c r="C203" s="8"/>
      <c r="D203" s="9"/>
      <c r="E203" s="11"/>
      <c r="F203" s="11"/>
      <c r="G203" s="17"/>
      <c r="H203" s="8"/>
      <c r="I203" s="10" t="s">
        <v>50</v>
      </c>
      <c r="J203" s="10"/>
      <c r="K203" s="10"/>
      <c r="L203" s="10"/>
      <c r="M203" s="10"/>
      <c r="N203" s="10"/>
      <c r="O203" s="10" t="s">
        <v>38</v>
      </c>
      <c r="P203" s="10"/>
      <c r="Q203" s="10"/>
      <c r="R203" s="10" t="s">
        <v>38</v>
      </c>
      <c r="S203" s="10"/>
      <c r="T203" s="10"/>
      <c r="U203" s="10"/>
      <c r="V203" s="10"/>
      <c r="W203" s="10"/>
      <c r="X203" s="10"/>
      <c r="Y203" s="10"/>
      <c r="Z203" s="10"/>
      <c r="AA203" s="10" t="s">
        <v>38</v>
      </c>
      <c r="AB203" s="10"/>
      <c r="AC203" s="10"/>
      <c r="AD203" s="10"/>
      <c r="AE203" s="10"/>
      <c r="AF203" s="10"/>
      <c r="AG203" s="10"/>
      <c r="AH203" s="8" t="s">
        <v>82</v>
      </c>
      <c r="AI203" s="8" t="s">
        <v>40</v>
      </c>
      <c r="AJ203" s="8" t="s">
        <v>82</v>
      </c>
      <c r="AK203" s="11" t="s">
        <v>386</v>
      </c>
    </row>
    <row r="204" spans="1:37" ht="34" x14ac:dyDescent="0.2">
      <c r="A204" s="12">
        <f t="shared" si="3"/>
        <v>202</v>
      </c>
      <c r="B204" s="8"/>
      <c r="C204" s="8"/>
      <c r="D204" s="9"/>
      <c r="E204" s="8"/>
      <c r="F204" s="8"/>
      <c r="G204" s="17"/>
      <c r="H204" s="8"/>
      <c r="I204" s="10" t="s">
        <v>50</v>
      </c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 t="s">
        <v>38</v>
      </c>
      <c r="Y204" s="10"/>
      <c r="Z204" s="10" t="s">
        <v>38</v>
      </c>
      <c r="AA204" s="10" t="s">
        <v>38</v>
      </c>
      <c r="AB204" s="10" t="s">
        <v>38</v>
      </c>
      <c r="AC204" s="10"/>
      <c r="AD204" s="10"/>
      <c r="AE204" s="10"/>
      <c r="AF204" s="10"/>
      <c r="AG204" s="10"/>
      <c r="AH204" s="11" t="s">
        <v>387</v>
      </c>
      <c r="AI204" s="8" t="s">
        <v>47</v>
      </c>
      <c r="AJ204" s="8" t="s">
        <v>82</v>
      </c>
      <c r="AK204" t="s">
        <v>388</v>
      </c>
    </row>
    <row r="205" spans="1:37" ht="34" x14ac:dyDescent="0.2">
      <c r="A205" s="12">
        <f t="shared" si="3"/>
        <v>203</v>
      </c>
      <c r="B205" s="8"/>
      <c r="C205" s="8"/>
      <c r="D205" s="9"/>
      <c r="E205" s="8"/>
      <c r="F205" s="8"/>
      <c r="G205" s="17"/>
      <c r="H205" s="8"/>
      <c r="I205" s="10" t="s">
        <v>50</v>
      </c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 t="s">
        <v>38</v>
      </c>
      <c r="AB205" s="10" t="s">
        <v>38</v>
      </c>
      <c r="AC205" s="16" t="s">
        <v>389</v>
      </c>
      <c r="AD205" s="10"/>
      <c r="AE205" s="10"/>
      <c r="AF205" s="10"/>
      <c r="AG205" s="10"/>
      <c r="AH205" s="8" t="s">
        <v>94</v>
      </c>
      <c r="AI205" s="8" t="s">
        <v>40</v>
      </c>
      <c r="AJ205" s="11" t="s">
        <v>90</v>
      </c>
      <c r="AK205" s="11" t="s">
        <v>390</v>
      </c>
    </row>
    <row r="206" spans="1:37" ht="17" x14ac:dyDescent="0.2">
      <c r="A206" s="12">
        <f t="shared" si="3"/>
        <v>204</v>
      </c>
      <c r="B206" s="8"/>
      <c r="C206" s="8"/>
      <c r="D206" s="9"/>
      <c r="E206" s="8"/>
      <c r="F206" s="8"/>
      <c r="G206" s="17"/>
      <c r="H206" s="8"/>
      <c r="I206" s="10" t="s">
        <v>114</v>
      </c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 t="s">
        <v>38</v>
      </c>
      <c r="Y206" s="10"/>
      <c r="Z206" s="10"/>
      <c r="AA206" s="10" t="s">
        <v>38</v>
      </c>
      <c r="AB206" s="10" t="s">
        <v>38</v>
      </c>
      <c r="AC206" s="10"/>
      <c r="AD206" s="10"/>
      <c r="AE206" s="10"/>
      <c r="AF206" s="10"/>
      <c r="AG206" s="10"/>
      <c r="AH206" s="8" t="s">
        <v>391</v>
      </c>
      <c r="AI206" s="8" t="s">
        <v>47</v>
      </c>
      <c r="AJ206" s="8" t="s">
        <v>82</v>
      </c>
      <c r="AK206" s="11" t="s">
        <v>392</v>
      </c>
    </row>
    <row r="207" spans="1:37" ht="17" x14ac:dyDescent="0.2">
      <c r="A207" s="12">
        <f t="shared" si="3"/>
        <v>205</v>
      </c>
      <c r="B207" s="8"/>
      <c r="C207" s="8"/>
      <c r="D207" s="9"/>
      <c r="E207" s="8"/>
      <c r="F207" s="8"/>
      <c r="G207" s="17"/>
      <c r="H207" s="8"/>
      <c r="I207" s="10" t="s">
        <v>37</v>
      </c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 t="s">
        <v>393</v>
      </c>
      <c r="AD207" s="10"/>
      <c r="AE207" s="10"/>
      <c r="AF207" s="10"/>
      <c r="AG207" s="10"/>
      <c r="AH207" s="8" t="s">
        <v>394</v>
      </c>
      <c r="AI207" s="8" t="s">
        <v>40</v>
      </c>
      <c r="AJ207" s="8" t="s">
        <v>394</v>
      </c>
      <c r="AK207" s="11" t="s">
        <v>395</v>
      </c>
    </row>
    <row r="208" spans="1:37" ht="17" x14ac:dyDescent="0.2">
      <c r="A208" s="12">
        <f t="shared" si="3"/>
        <v>206</v>
      </c>
      <c r="B208" s="8"/>
      <c r="C208" s="8"/>
      <c r="D208" s="9"/>
      <c r="E208" s="8"/>
      <c r="F208" s="8"/>
      <c r="G208" s="17"/>
      <c r="H208" s="8"/>
      <c r="I208" s="10" t="s">
        <v>50</v>
      </c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 t="s">
        <v>38</v>
      </c>
      <c r="AC208" s="10" t="s">
        <v>396</v>
      </c>
      <c r="AD208" s="10"/>
      <c r="AE208" s="10"/>
      <c r="AF208" s="10"/>
      <c r="AG208" s="10"/>
      <c r="AH208" s="8" t="s">
        <v>397</v>
      </c>
      <c r="AI208" s="8" t="s">
        <v>40</v>
      </c>
      <c r="AJ208" s="8" t="s">
        <v>397</v>
      </c>
      <c r="AK208" s="11" t="s">
        <v>398</v>
      </c>
    </row>
    <row r="209" spans="1:38" ht="51" x14ac:dyDescent="0.2">
      <c r="A209" s="12">
        <f t="shared" si="3"/>
        <v>207</v>
      </c>
      <c r="B209" s="8"/>
      <c r="C209" s="8"/>
      <c r="D209" s="9"/>
      <c r="E209" s="8"/>
      <c r="F209" s="8"/>
      <c r="G209" s="17"/>
      <c r="H209" s="8"/>
      <c r="I209" s="10" t="s">
        <v>37</v>
      </c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 t="s">
        <v>393</v>
      </c>
      <c r="AD209" s="10"/>
      <c r="AE209" s="10"/>
      <c r="AF209" s="10"/>
      <c r="AG209" s="10"/>
      <c r="AH209" s="11" t="s">
        <v>399</v>
      </c>
      <c r="AI209" s="8" t="s">
        <v>40</v>
      </c>
      <c r="AJ209" s="8" t="s">
        <v>400</v>
      </c>
      <c r="AK209" s="11" t="s">
        <v>401</v>
      </c>
    </row>
    <row r="210" spans="1:38" ht="34" x14ac:dyDescent="0.2">
      <c r="A210" s="12">
        <f t="shared" si="3"/>
        <v>208</v>
      </c>
      <c r="B210" s="8"/>
      <c r="C210" s="8"/>
      <c r="D210" s="9"/>
      <c r="E210" s="8"/>
      <c r="F210" s="8"/>
      <c r="G210" s="17"/>
      <c r="H210" s="8"/>
      <c r="I210" s="10" t="s">
        <v>37</v>
      </c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 t="s">
        <v>393</v>
      </c>
      <c r="AD210" s="10"/>
      <c r="AE210" s="10"/>
      <c r="AF210" s="10"/>
      <c r="AG210" s="10"/>
      <c r="AH210" s="8" t="s">
        <v>402</v>
      </c>
      <c r="AI210" s="8" t="s">
        <v>40</v>
      </c>
      <c r="AJ210" s="8" t="s">
        <v>402</v>
      </c>
      <c r="AK210" s="11" t="s">
        <v>403</v>
      </c>
    </row>
    <row r="211" spans="1:38" ht="17" x14ac:dyDescent="0.2">
      <c r="A211" s="12">
        <f t="shared" si="3"/>
        <v>209</v>
      </c>
      <c r="B211" s="8"/>
      <c r="C211" s="8"/>
      <c r="D211" s="9"/>
      <c r="E211" s="8"/>
      <c r="F211" s="8"/>
      <c r="G211" s="17"/>
      <c r="H211" s="8"/>
      <c r="I211" s="10" t="s">
        <v>114</v>
      </c>
      <c r="J211" s="10"/>
      <c r="K211" s="10"/>
      <c r="L211" s="10"/>
      <c r="M211" s="10"/>
      <c r="N211" s="10"/>
      <c r="O211" s="10"/>
      <c r="P211" s="10"/>
      <c r="Q211" s="10"/>
      <c r="R211" s="10" t="s">
        <v>38</v>
      </c>
      <c r="S211" s="10"/>
      <c r="T211" s="10"/>
      <c r="U211" s="10" t="s">
        <v>38</v>
      </c>
      <c r="V211" s="10"/>
      <c r="W211" s="10" t="s">
        <v>38</v>
      </c>
      <c r="X211" s="10" t="s">
        <v>38</v>
      </c>
      <c r="Y211" s="10" t="s">
        <v>38</v>
      </c>
      <c r="Z211" s="10" t="s">
        <v>38</v>
      </c>
      <c r="AA211" s="10" t="s">
        <v>38</v>
      </c>
      <c r="AB211" s="10" t="s">
        <v>38</v>
      </c>
      <c r="AC211" s="16" t="s">
        <v>404</v>
      </c>
      <c r="AD211" s="10"/>
      <c r="AE211" s="10"/>
      <c r="AF211" s="10"/>
      <c r="AG211" s="10"/>
      <c r="AH211" s="8" t="s">
        <v>405</v>
      </c>
      <c r="AI211" s="8" t="s">
        <v>47</v>
      </c>
      <c r="AJ211" s="8" t="s">
        <v>93</v>
      </c>
      <c r="AK211" s="11"/>
    </row>
    <row r="212" spans="1:38" x14ac:dyDescent="0.2">
      <c r="A212" s="12">
        <f t="shared" si="3"/>
        <v>210</v>
      </c>
      <c r="B212" s="8"/>
      <c r="C212" s="8"/>
      <c r="D212" s="9"/>
      <c r="E212" s="8"/>
      <c r="F212" s="8"/>
      <c r="G212" s="17"/>
      <c r="H212" s="8"/>
      <c r="I212" s="10" t="s">
        <v>114</v>
      </c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 t="s">
        <v>38</v>
      </c>
      <c r="Y212" s="10"/>
      <c r="Z212" s="10"/>
      <c r="AA212" s="10" t="s">
        <v>38</v>
      </c>
      <c r="AB212" s="10" t="s">
        <v>38</v>
      </c>
      <c r="AC212" s="10" t="s">
        <v>406</v>
      </c>
      <c r="AD212" s="10" t="s">
        <v>38</v>
      </c>
      <c r="AE212" s="10" t="s">
        <v>38</v>
      </c>
      <c r="AF212" s="10" t="s">
        <v>38</v>
      </c>
      <c r="AG212" s="10" t="s">
        <v>38</v>
      </c>
      <c r="AH212" s="8" t="s">
        <v>82</v>
      </c>
      <c r="AI212" s="8" t="s">
        <v>47</v>
      </c>
      <c r="AJ212" s="8" t="s">
        <v>169</v>
      </c>
      <c r="AK212" s="11"/>
    </row>
    <row r="213" spans="1:38" x14ac:dyDescent="0.2">
      <c r="A213" s="12">
        <f t="shared" ref="A213:A228" si="4">1+A212</f>
        <v>211</v>
      </c>
      <c r="B213" s="8"/>
      <c r="C213" s="8"/>
      <c r="D213" s="9"/>
      <c r="E213" s="8"/>
      <c r="F213" s="8"/>
      <c r="G213" s="14"/>
      <c r="H213" s="8"/>
      <c r="I213" s="10" t="s">
        <v>114</v>
      </c>
      <c r="J213" s="10"/>
      <c r="K213" s="10"/>
      <c r="L213" s="10"/>
      <c r="M213" s="10"/>
      <c r="N213" s="10"/>
      <c r="O213" s="10"/>
      <c r="P213" s="10"/>
      <c r="Q213" s="10"/>
      <c r="R213" s="10" t="s">
        <v>38</v>
      </c>
      <c r="S213" s="10"/>
      <c r="T213" s="10"/>
      <c r="U213" s="10"/>
      <c r="V213" s="10"/>
      <c r="W213" s="10"/>
      <c r="X213" s="10" t="s">
        <v>38</v>
      </c>
      <c r="Y213" s="10"/>
      <c r="Z213" s="10"/>
      <c r="AA213" s="10" t="s">
        <v>38</v>
      </c>
      <c r="AB213" s="10" t="s">
        <v>38</v>
      </c>
      <c r="AC213" s="10" t="s">
        <v>406</v>
      </c>
      <c r="AD213" s="10"/>
      <c r="AE213" s="10"/>
      <c r="AF213" s="10"/>
      <c r="AG213" s="10"/>
      <c r="AH213" s="8" t="s">
        <v>169</v>
      </c>
      <c r="AI213" s="8" t="s">
        <v>47</v>
      </c>
      <c r="AJ213" s="8" t="s">
        <v>169</v>
      </c>
      <c r="AK213" s="11"/>
    </row>
    <row r="214" spans="1:38" s="41" customFormat="1" x14ac:dyDescent="0.2">
      <c r="A214" s="12">
        <f t="shared" si="4"/>
        <v>212</v>
      </c>
      <c r="B214" s="8"/>
      <c r="C214" s="8"/>
      <c r="D214" s="9"/>
      <c r="E214" s="8"/>
      <c r="F214" s="8"/>
      <c r="G214" s="17"/>
      <c r="H214" s="8"/>
      <c r="I214" s="10" t="s">
        <v>141</v>
      </c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 t="s">
        <v>406</v>
      </c>
      <c r="AD214" s="10"/>
      <c r="AE214" s="10"/>
      <c r="AF214" s="10"/>
      <c r="AG214" s="10"/>
      <c r="AH214" s="8" t="s">
        <v>407</v>
      </c>
      <c r="AI214" s="8" t="s">
        <v>47</v>
      </c>
      <c r="AJ214" s="8" t="s">
        <v>407</v>
      </c>
      <c r="AK214" s="11"/>
      <c r="AL214" s="1"/>
    </row>
    <row r="215" spans="1:38" s="41" customFormat="1" x14ac:dyDescent="0.2">
      <c r="A215" s="12">
        <f t="shared" si="4"/>
        <v>213</v>
      </c>
      <c r="B215" s="8"/>
      <c r="C215" s="8"/>
      <c r="D215" s="9"/>
      <c r="E215" s="8"/>
      <c r="F215" s="8"/>
      <c r="G215" s="17"/>
      <c r="H215" s="8"/>
      <c r="I215" s="10" t="s">
        <v>114</v>
      </c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 t="s">
        <v>38</v>
      </c>
      <c r="Y215" s="10"/>
      <c r="Z215" s="10" t="s">
        <v>38</v>
      </c>
      <c r="AA215" s="10" t="s">
        <v>38</v>
      </c>
      <c r="AB215" s="10"/>
      <c r="AC215" s="10" t="s">
        <v>408</v>
      </c>
      <c r="AD215" s="10"/>
      <c r="AE215" s="10"/>
      <c r="AF215" s="10"/>
      <c r="AG215" s="10"/>
      <c r="AH215" s="8" t="s">
        <v>409</v>
      </c>
      <c r="AI215" s="8" t="s">
        <v>47</v>
      </c>
      <c r="AJ215" s="8" t="s">
        <v>82</v>
      </c>
      <c r="AK215" s="11"/>
      <c r="AL215" s="1"/>
    </row>
    <row r="216" spans="1:38" s="41" customFormat="1" x14ac:dyDescent="0.2">
      <c r="A216" s="12">
        <f t="shared" si="4"/>
        <v>214</v>
      </c>
      <c r="B216" s="8"/>
      <c r="C216" s="8"/>
      <c r="D216" s="9"/>
      <c r="E216" s="8"/>
      <c r="F216" s="8"/>
      <c r="G216" s="17"/>
      <c r="H216" s="8"/>
      <c r="I216" s="10" t="s">
        <v>114</v>
      </c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 t="s">
        <v>38</v>
      </c>
      <c r="Y216" s="10" t="s">
        <v>38</v>
      </c>
      <c r="Z216" s="10"/>
      <c r="AA216" s="10" t="s">
        <v>38</v>
      </c>
      <c r="AB216" s="10" t="s">
        <v>38</v>
      </c>
      <c r="AC216" s="10" t="s">
        <v>406</v>
      </c>
      <c r="AD216" s="10" t="s">
        <v>38</v>
      </c>
      <c r="AE216" s="10"/>
      <c r="AF216" s="10"/>
      <c r="AG216" s="10"/>
      <c r="AH216" s="8" t="s">
        <v>407</v>
      </c>
      <c r="AI216" s="8" t="s">
        <v>47</v>
      </c>
      <c r="AJ216" s="8" t="s">
        <v>407</v>
      </c>
      <c r="AK216" s="11"/>
      <c r="AL216" s="1"/>
    </row>
    <row r="217" spans="1:38" s="41" customFormat="1" ht="34" x14ac:dyDescent="0.2">
      <c r="A217" s="12">
        <f t="shared" si="4"/>
        <v>215</v>
      </c>
      <c r="B217" s="8"/>
      <c r="C217" s="8"/>
      <c r="D217" s="9"/>
      <c r="E217" s="8"/>
      <c r="F217" s="8"/>
      <c r="G217" s="17"/>
      <c r="H217" s="8"/>
      <c r="I217" s="10" t="s">
        <v>50</v>
      </c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 t="s">
        <v>38</v>
      </c>
      <c r="Y217" s="10"/>
      <c r="Z217" s="10"/>
      <c r="AA217" s="10" t="s">
        <v>38</v>
      </c>
      <c r="AB217" s="10" t="s">
        <v>38</v>
      </c>
      <c r="AC217" s="10"/>
      <c r="AD217" s="10"/>
      <c r="AE217" s="10"/>
      <c r="AF217" s="10"/>
      <c r="AG217" s="10"/>
      <c r="AH217" s="11" t="s">
        <v>410</v>
      </c>
      <c r="AI217" s="8" t="s">
        <v>47</v>
      </c>
      <c r="AJ217" s="8" t="s">
        <v>82</v>
      </c>
      <c r="AK217" s="11" t="s">
        <v>411</v>
      </c>
      <c r="AL217" s="1"/>
    </row>
    <row r="218" spans="1:38" s="41" customFormat="1" ht="51" x14ac:dyDescent="0.2">
      <c r="A218" s="12">
        <f t="shared" si="4"/>
        <v>216</v>
      </c>
      <c r="B218" s="8"/>
      <c r="C218" s="8"/>
      <c r="D218" s="9"/>
      <c r="E218" s="8"/>
      <c r="F218" s="8"/>
      <c r="G218" s="17"/>
      <c r="H218" s="8"/>
      <c r="I218" s="10" t="s">
        <v>50</v>
      </c>
      <c r="J218" s="10" t="s">
        <v>38</v>
      </c>
      <c r="K218" s="10" t="s">
        <v>38</v>
      </c>
      <c r="L218" s="10"/>
      <c r="M218" s="10"/>
      <c r="N218" s="10" t="s">
        <v>38</v>
      </c>
      <c r="O218" s="10"/>
      <c r="P218" s="10"/>
      <c r="Q218" s="10"/>
      <c r="R218" s="10" t="s">
        <v>38</v>
      </c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 t="s">
        <v>38</v>
      </c>
      <c r="AE218" s="10"/>
      <c r="AF218" s="10"/>
      <c r="AG218" s="10"/>
      <c r="AH218" s="8" t="s">
        <v>412</v>
      </c>
      <c r="AI218" s="8" t="s">
        <v>40</v>
      </c>
      <c r="AJ218" s="8" t="s">
        <v>412</v>
      </c>
      <c r="AK218" s="11" t="s">
        <v>413</v>
      </c>
      <c r="AL218" s="1"/>
    </row>
    <row r="219" spans="1:38" s="41" customFormat="1" x14ac:dyDescent="0.2">
      <c r="A219" s="12">
        <f t="shared" si="4"/>
        <v>217</v>
      </c>
      <c r="B219" s="8"/>
      <c r="C219" s="8"/>
      <c r="D219" s="9"/>
      <c r="E219" s="8"/>
      <c r="F219" s="8"/>
      <c r="G219" s="17"/>
      <c r="H219" s="8"/>
      <c r="I219" s="10" t="s">
        <v>37</v>
      </c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 t="s">
        <v>414</v>
      </c>
      <c r="AD219" s="10"/>
      <c r="AE219" s="10"/>
      <c r="AF219" s="10"/>
      <c r="AG219" s="10"/>
      <c r="AH219" s="8" t="s">
        <v>46</v>
      </c>
      <c r="AI219" s="8" t="s">
        <v>40</v>
      </c>
      <c r="AJ219" s="8" t="s">
        <v>77</v>
      </c>
      <c r="AK219" s="11"/>
      <c r="AL219" s="1"/>
    </row>
    <row r="220" spans="1:38" s="41" customFormat="1" ht="17" x14ac:dyDescent="0.2">
      <c r="A220" s="12">
        <f t="shared" si="4"/>
        <v>218</v>
      </c>
      <c r="B220" s="8"/>
      <c r="C220" s="8"/>
      <c r="D220" s="9"/>
      <c r="E220" s="8"/>
      <c r="F220" s="8"/>
      <c r="G220" s="17"/>
      <c r="H220" s="8"/>
      <c r="I220" s="10" t="s">
        <v>112</v>
      </c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 t="s">
        <v>415</v>
      </c>
      <c r="AD220" s="10"/>
      <c r="AE220" s="10"/>
      <c r="AF220" s="10"/>
      <c r="AG220" s="10"/>
      <c r="AH220" s="8" t="s">
        <v>416</v>
      </c>
      <c r="AI220" s="8" t="s">
        <v>40</v>
      </c>
      <c r="AJ220" s="8" t="s">
        <v>416</v>
      </c>
      <c r="AK220" s="11" t="s">
        <v>417</v>
      </c>
      <c r="AL220" s="1"/>
    </row>
    <row r="221" spans="1:38" s="41" customFormat="1" ht="51" x14ac:dyDescent="0.2">
      <c r="A221" s="12">
        <f t="shared" si="4"/>
        <v>219</v>
      </c>
      <c r="B221" s="8"/>
      <c r="C221" s="8"/>
      <c r="D221" s="9"/>
      <c r="E221" s="8"/>
      <c r="F221" s="8"/>
      <c r="G221" s="17"/>
      <c r="H221" s="8"/>
      <c r="I221" s="10" t="s">
        <v>37</v>
      </c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 t="s">
        <v>418</v>
      </c>
      <c r="AD221" s="10" t="s">
        <v>38</v>
      </c>
      <c r="AE221" s="10"/>
      <c r="AF221" s="10" t="s">
        <v>38</v>
      </c>
      <c r="AG221" s="10"/>
      <c r="AH221" s="8" t="s">
        <v>419</v>
      </c>
      <c r="AI221" s="8" t="s">
        <v>40</v>
      </c>
      <c r="AJ221" s="8" t="s">
        <v>419</v>
      </c>
      <c r="AK221" s="11" t="s">
        <v>420</v>
      </c>
      <c r="AL221" s="1"/>
    </row>
    <row r="222" spans="1:38" s="41" customFormat="1" ht="17" x14ac:dyDescent="0.2">
      <c r="A222" s="12">
        <f t="shared" si="4"/>
        <v>220</v>
      </c>
      <c r="B222" s="8"/>
      <c r="C222" s="8"/>
      <c r="D222" s="9"/>
      <c r="E222" s="42"/>
      <c r="F222" s="42"/>
      <c r="G222" s="17"/>
      <c r="H222" s="8"/>
      <c r="I222" s="10" t="s">
        <v>50</v>
      </c>
      <c r="J222" s="10"/>
      <c r="K222" s="10"/>
      <c r="L222" s="10" t="s">
        <v>38</v>
      </c>
      <c r="M222" s="10" t="s">
        <v>38</v>
      </c>
      <c r="N222" s="10" t="s">
        <v>38</v>
      </c>
      <c r="O222" s="10"/>
      <c r="P222" s="10" t="s">
        <v>38</v>
      </c>
      <c r="Q222" s="10"/>
      <c r="R222" s="10" t="s">
        <v>38</v>
      </c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 t="s">
        <v>38</v>
      </c>
      <c r="AE222" s="10" t="s">
        <v>38</v>
      </c>
      <c r="AF222" s="10" t="s">
        <v>38</v>
      </c>
      <c r="AG222" s="10"/>
      <c r="AH222" s="8" t="s">
        <v>82</v>
      </c>
      <c r="AI222" s="8" t="s">
        <v>421</v>
      </c>
      <c r="AJ222" s="8" t="s">
        <v>77</v>
      </c>
      <c r="AK222" s="11" t="s">
        <v>422</v>
      </c>
      <c r="AL222" s="1"/>
    </row>
    <row r="223" spans="1:38" s="41" customFormat="1" ht="34" x14ac:dyDescent="0.2">
      <c r="A223" s="12">
        <f t="shared" si="4"/>
        <v>221</v>
      </c>
      <c r="B223" s="8"/>
      <c r="C223" s="8"/>
      <c r="D223" s="9"/>
      <c r="E223" s="8"/>
      <c r="F223" s="8"/>
      <c r="G223" s="17"/>
      <c r="H223" s="8"/>
      <c r="I223" s="10" t="s">
        <v>37</v>
      </c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 t="s">
        <v>38</v>
      </c>
      <c r="AE223" s="10"/>
      <c r="AF223" s="10"/>
      <c r="AG223" s="10"/>
      <c r="AH223" s="8" t="s">
        <v>423</v>
      </c>
      <c r="AI223" s="8" t="s">
        <v>40</v>
      </c>
      <c r="AJ223" s="8" t="s">
        <v>424</v>
      </c>
      <c r="AK223" s="11" t="s">
        <v>425</v>
      </c>
      <c r="AL223" s="1"/>
    </row>
    <row r="224" spans="1:38" s="41" customFormat="1" ht="51" x14ac:dyDescent="0.2">
      <c r="A224" s="12">
        <f t="shared" si="4"/>
        <v>222</v>
      </c>
      <c r="B224" s="8"/>
      <c r="C224" s="8"/>
      <c r="D224" s="9"/>
      <c r="E224" s="8"/>
      <c r="F224" s="8"/>
      <c r="G224" s="17"/>
      <c r="H224" s="8"/>
      <c r="I224" s="10" t="s">
        <v>112</v>
      </c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 t="s">
        <v>426</v>
      </c>
      <c r="AD224" s="10"/>
      <c r="AE224" s="10"/>
      <c r="AF224" s="10"/>
      <c r="AG224" s="10"/>
      <c r="AH224" s="8" t="s">
        <v>427</v>
      </c>
      <c r="AI224" s="8" t="s">
        <v>40</v>
      </c>
      <c r="AJ224" s="8" t="s">
        <v>427</v>
      </c>
      <c r="AK224" s="11" t="s">
        <v>428</v>
      </c>
      <c r="AL224" s="1"/>
    </row>
    <row r="225" spans="1:38" s="41" customFormat="1" ht="68" x14ac:dyDescent="0.2">
      <c r="A225" s="12">
        <f t="shared" si="4"/>
        <v>223</v>
      </c>
      <c r="B225" s="8"/>
      <c r="C225" s="8"/>
      <c r="D225" s="9"/>
      <c r="E225" s="8"/>
      <c r="F225" s="8"/>
      <c r="G225" s="9"/>
      <c r="H225" s="8"/>
      <c r="I225" s="10" t="s">
        <v>50</v>
      </c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7" t="s">
        <v>38</v>
      </c>
      <c r="Y225" s="7"/>
      <c r="Z225" s="7"/>
      <c r="AA225" s="7" t="s">
        <v>38</v>
      </c>
      <c r="AB225" s="7" t="s">
        <v>38</v>
      </c>
      <c r="AC225" s="7" t="s">
        <v>429</v>
      </c>
      <c r="AD225" s="7" t="s">
        <v>38</v>
      </c>
      <c r="AE225" s="7" t="s">
        <v>38</v>
      </c>
      <c r="AF225" s="7"/>
      <c r="AG225" s="7"/>
      <c r="AH225" s="7" t="s">
        <v>82</v>
      </c>
      <c r="AI225" s="8" t="s">
        <v>40</v>
      </c>
      <c r="AJ225" s="8" t="s">
        <v>82</v>
      </c>
      <c r="AK225" s="11" t="s">
        <v>430</v>
      </c>
      <c r="AL225" s="1"/>
    </row>
    <row r="226" spans="1:38" s="41" customFormat="1" ht="34" x14ac:dyDescent="0.2">
      <c r="A226" s="12">
        <f t="shared" si="4"/>
        <v>224</v>
      </c>
      <c r="B226" s="8"/>
      <c r="C226" s="8"/>
      <c r="D226" s="9"/>
      <c r="E226" s="8"/>
      <c r="F226" s="8"/>
      <c r="G226" s="9"/>
      <c r="H226" s="8"/>
      <c r="I226" s="10" t="s">
        <v>37</v>
      </c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7"/>
      <c r="Y226" s="7"/>
      <c r="Z226" s="7"/>
      <c r="AA226" s="7"/>
      <c r="AB226" s="7"/>
      <c r="AC226" s="21" t="s">
        <v>431</v>
      </c>
      <c r="AD226" s="7"/>
      <c r="AE226" s="7"/>
      <c r="AF226" s="7"/>
      <c r="AG226" s="7"/>
      <c r="AH226" s="7" t="s">
        <v>432</v>
      </c>
      <c r="AI226" s="8"/>
      <c r="AJ226" s="8"/>
      <c r="AK226" s="11" t="s">
        <v>433</v>
      </c>
      <c r="AL226" s="1"/>
    </row>
    <row r="227" spans="1:38" s="41" customFormat="1" ht="34" x14ac:dyDescent="0.2">
      <c r="A227" s="12">
        <f t="shared" si="4"/>
        <v>225</v>
      </c>
      <c r="B227" s="8"/>
      <c r="C227" s="8"/>
      <c r="D227" s="9"/>
      <c r="E227" s="11"/>
      <c r="F227" s="11"/>
      <c r="G227" s="19"/>
      <c r="H227" s="8"/>
      <c r="I227" s="10" t="s">
        <v>50</v>
      </c>
      <c r="J227" s="7" t="s">
        <v>38</v>
      </c>
      <c r="K227" s="7" t="s">
        <v>38</v>
      </c>
      <c r="L227" s="7" t="s">
        <v>38</v>
      </c>
      <c r="M227" s="7" t="s">
        <v>38</v>
      </c>
      <c r="N227" s="7" t="s">
        <v>38</v>
      </c>
      <c r="O227" s="7" t="s">
        <v>38</v>
      </c>
      <c r="P227" s="7" t="s">
        <v>38</v>
      </c>
      <c r="Q227" s="7"/>
      <c r="R227" s="7" t="s">
        <v>38</v>
      </c>
      <c r="S227" s="7"/>
      <c r="T227" s="7"/>
      <c r="U227" s="7"/>
      <c r="V227" s="7"/>
      <c r="W227" s="7"/>
      <c r="X227" s="7" t="s">
        <v>38</v>
      </c>
      <c r="Y227" s="7" t="s">
        <v>38</v>
      </c>
      <c r="Z227" s="7" t="s">
        <v>38</v>
      </c>
      <c r="AA227" s="7" t="s">
        <v>38</v>
      </c>
      <c r="AB227" s="7" t="s">
        <v>38</v>
      </c>
      <c r="AC227" s="21" t="s">
        <v>434</v>
      </c>
      <c r="AD227" s="7" t="s">
        <v>38</v>
      </c>
      <c r="AE227" s="7" t="s">
        <v>38</v>
      </c>
      <c r="AF227" s="7"/>
      <c r="AG227" s="7"/>
      <c r="AH227" s="7" t="s">
        <v>435</v>
      </c>
      <c r="AI227" s="8" t="s">
        <v>40</v>
      </c>
      <c r="AJ227" s="8" t="s">
        <v>435</v>
      </c>
      <c r="AK227" s="8"/>
      <c r="AL227" s="1"/>
    </row>
    <row r="228" spans="1:38" s="44" customFormat="1" x14ac:dyDescent="0.2">
      <c r="A228" s="12">
        <f t="shared" si="4"/>
        <v>226</v>
      </c>
      <c r="B228" s="8"/>
      <c r="C228" s="8"/>
      <c r="D228" s="17"/>
      <c r="E228" s="8"/>
      <c r="F228" s="8"/>
      <c r="G228" s="17"/>
      <c r="H228" s="8"/>
      <c r="I228" s="10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43" t="s">
        <v>43</v>
      </c>
      <c r="AI228" s="43" t="s">
        <v>40</v>
      </c>
      <c r="AJ228" s="43" t="s">
        <v>44</v>
      </c>
      <c r="AK228" s="8"/>
      <c r="AL228" s="1"/>
    </row>
    <row r="229" spans="1:38" s="41" customFormat="1" x14ac:dyDescent="0.2">
      <c r="A229" s="12">
        <f t="shared" ref="A229:A292" si="5">1+A228</f>
        <v>227</v>
      </c>
      <c r="B229" s="8"/>
      <c r="C229" s="8"/>
      <c r="D229" s="9"/>
      <c r="E229" s="8"/>
      <c r="F229" s="8"/>
      <c r="G229" s="9"/>
      <c r="H229" s="8"/>
      <c r="I229" s="10" t="s">
        <v>141</v>
      </c>
      <c r="J229" s="8"/>
      <c r="K229" s="8"/>
      <c r="L229" s="8"/>
      <c r="M229" s="8"/>
      <c r="N229" s="7" t="s">
        <v>38</v>
      </c>
      <c r="O229" s="8"/>
      <c r="P229" s="8"/>
      <c r="Q229" s="8"/>
      <c r="R229" s="8"/>
      <c r="S229" s="8"/>
      <c r="T229" s="8"/>
      <c r="U229" s="7" t="s">
        <v>38</v>
      </c>
      <c r="V229" s="8"/>
      <c r="W229" s="8"/>
      <c r="X229" s="8"/>
      <c r="Y229" s="8"/>
      <c r="Z229" s="8"/>
      <c r="AA229" s="8"/>
      <c r="AB229" s="8"/>
      <c r="AC229" s="7" t="s">
        <v>406</v>
      </c>
      <c r="AD229" s="7" t="s">
        <v>38</v>
      </c>
      <c r="AE229" s="7"/>
      <c r="AF229" s="7" t="s">
        <v>38</v>
      </c>
      <c r="AG229" s="7"/>
      <c r="AH229" s="43" t="s">
        <v>436</v>
      </c>
      <c r="AI229" s="43" t="s">
        <v>56</v>
      </c>
      <c r="AJ229" s="43" t="s">
        <v>437</v>
      </c>
      <c r="AK229" s="8"/>
      <c r="AL229" s="1"/>
    </row>
    <row r="230" spans="1:38" s="41" customFormat="1" x14ac:dyDescent="0.2">
      <c r="A230" s="12">
        <f t="shared" si="5"/>
        <v>228</v>
      </c>
      <c r="B230" s="45"/>
      <c r="C230" s="46"/>
      <c r="D230" s="9"/>
      <c r="E230" s="47"/>
      <c r="F230" s="47"/>
      <c r="G230" s="48"/>
      <c r="H230" s="8"/>
      <c r="I230" s="10" t="s">
        <v>141</v>
      </c>
      <c r="J230" s="7"/>
      <c r="K230" s="7" t="s">
        <v>38</v>
      </c>
      <c r="L230" s="7"/>
      <c r="M230" s="7"/>
      <c r="N230" s="7"/>
      <c r="O230" s="7"/>
      <c r="P230" s="7"/>
      <c r="Q230" s="7"/>
      <c r="R230" s="7"/>
      <c r="S230" s="7"/>
      <c r="T230" s="7"/>
      <c r="U230" s="7" t="s">
        <v>38</v>
      </c>
      <c r="V230" s="7"/>
      <c r="W230" s="7"/>
      <c r="X230" s="7"/>
      <c r="Y230" s="7" t="s">
        <v>38</v>
      </c>
      <c r="Z230" s="7"/>
      <c r="AA230" s="7" t="s">
        <v>38</v>
      </c>
      <c r="AB230" s="7"/>
      <c r="AC230" s="7" t="s">
        <v>406</v>
      </c>
      <c r="AD230" s="7"/>
      <c r="AE230" s="7"/>
      <c r="AF230" s="7"/>
      <c r="AG230" s="7"/>
      <c r="AH230" s="43" t="s">
        <v>438</v>
      </c>
      <c r="AI230" s="43" t="s">
        <v>47</v>
      </c>
      <c r="AJ230" s="43" t="s">
        <v>438</v>
      </c>
      <c r="AK230" s="8"/>
      <c r="AL230" s="1"/>
    </row>
    <row r="231" spans="1:38" s="41" customFormat="1" x14ac:dyDescent="0.2">
      <c r="A231" s="12">
        <f t="shared" si="5"/>
        <v>229</v>
      </c>
      <c r="B231" s="45"/>
      <c r="C231" s="46"/>
      <c r="D231" s="9"/>
      <c r="E231" s="47"/>
      <c r="F231" s="47"/>
      <c r="G231" s="48"/>
      <c r="H231" s="8"/>
      <c r="I231" s="10" t="s">
        <v>141</v>
      </c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 t="s">
        <v>38</v>
      </c>
      <c r="V231" s="7"/>
      <c r="W231" s="7"/>
      <c r="X231" s="7"/>
      <c r="Y231" s="7"/>
      <c r="Z231" s="7"/>
      <c r="AA231" s="7"/>
      <c r="AB231" s="7"/>
      <c r="AC231" s="7" t="s">
        <v>406</v>
      </c>
      <c r="AD231" s="7" t="s">
        <v>38</v>
      </c>
      <c r="AE231" s="7" t="s">
        <v>38</v>
      </c>
      <c r="AF231" s="7" t="s">
        <v>38</v>
      </c>
      <c r="AG231" s="7"/>
      <c r="AH231" s="43" t="s">
        <v>438</v>
      </c>
      <c r="AI231" s="43" t="s">
        <v>47</v>
      </c>
      <c r="AJ231" s="43" t="s">
        <v>438</v>
      </c>
      <c r="AK231" s="8"/>
      <c r="AL231" s="1"/>
    </row>
    <row r="232" spans="1:38" s="41" customFormat="1" x14ac:dyDescent="0.2">
      <c r="A232" s="12">
        <f t="shared" si="5"/>
        <v>230</v>
      </c>
      <c r="B232" s="8"/>
      <c r="C232" s="8"/>
      <c r="D232" s="9"/>
      <c r="E232" s="49"/>
      <c r="F232" s="49"/>
      <c r="G232" s="9"/>
      <c r="H232" s="8"/>
      <c r="I232" s="10" t="s">
        <v>37</v>
      </c>
      <c r="J232" s="7"/>
      <c r="K232" s="7" t="s">
        <v>38</v>
      </c>
      <c r="L232" s="7"/>
      <c r="M232" s="7"/>
      <c r="N232" s="7"/>
      <c r="O232" s="7"/>
      <c r="P232" s="7"/>
      <c r="Q232" s="7"/>
      <c r="R232" s="7" t="s">
        <v>38</v>
      </c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43" t="s">
        <v>439</v>
      </c>
      <c r="AI232" s="43" t="s">
        <v>40</v>
      </c>
      <c r="AJ232" s="43" t="s">
        <v>236</v>
      </c>
      <c r="AK232" s="8"/>
      <c r="AL232" s="1"/>
    </row>
    <row r="233" spans="1:38" s="41" customFormat="1" x14ac:dyDescent="0.2">
      <c r="A233" s="12">
        <f t="shared" si="5"/>
        <v>231</v>
      </c>
      <c r="B233" s="8"/>
      <c r="C233" s="8"/>
      <c r="D233" s="9"/>
      <c r="E233" s="11"/>
      <c r="F233" s="11"/>
      <c r="G233" s="19"/>
      <c r="H233" s="8"/>
      <c r="I233" s="10" t="s">
        <v>37</v>
      </c>
      <c r="J233" s="7"/>
      <c r="K233" s="7" t="s">
        <v>38</v>
      </c>
      <c r="L233" s="7"/>
      <c r="M233" s="7"/>
      <c r="N233" s="7"/>
      <c r="O233" s="7"/>
      <c r="P233" s="7"/>
      <c r="Q233" s="7"/>
      <c r="R233" s="7" t="s">
        <v>38</v>
      </c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 t="s">
        <v>38</v>
      </c>
      <c r="AE233" s="7"/>
      <c r="AF233" s="7"/>
      <c r="AG233" s="7"/>
      <c r="AH233" s="43" t="s">
        <v>412</v>
      </c>
      <c r="AI233" s="43" t="s">
        <v>40</v>
      </c>
      <c r="AJ233" s="43" t="s">
        <v>412</v>
      </c>
      <c r="AK233" s="8"/>
      <c r="AL233" s="1"/>
    </row>
    <row r="234" spans="1:38" s="41" customFormat="1" x14ac:dyDescent="0.2">
      <c r="A234" s="12">
        <f t="shared" si="5"/>
        <v>232</v>
      </c>
      <c r="B234" s="8"/>
      <c r="C234" s="8"/>
      <c r="D234" s="9"/>
      <c r="E234" s="8"/>
      <c r="F234" s="8"/>
      <c r="G234" s="9"/>
      <c r="H234" s="8"/>
      <c r="I234" s="10" t="s">
        <v>50</v>
      </c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 t="s">
        <v>38</v>
      </c>
      <c r="Y234" s="7" t="s">
        <v>38</v>
      </c>
      <c r="Z234" s="7" t="s">
        <v>38</v>
      </c>
      <c r="AA234" s="7" t="s">
        <v>38</v>
      </c>
      <c r="AB234" s="7"/>
      <c r="AC234" s="7" t="s">
        <v>440</v>
      </c>
      <c r="AD234" s="7" t="s">
        <v>38</v>
      </c>
      <c r="AE234" s="7" t="s">
        <v>38</v>
      </c>
      <c r="AF234" s="7"/>
      <c r="AG234" s="7"/>
      <c r="AH234" s="43" t="s">
        <v>441</v>
      </c>
      <c r="AI234" s="43" t="s">
        <v>40</v>
      </c>
      <c r="AJ234" s="43" t="s">
        <v>441</v>
      </c>
      <c r="AK234" s="8"/>
      <c r="AL234" s="1"/>
    </row>
    <row r="235" spans="1:38" s="41" customFormat="1" x14ac:dyDescent="0.2">
      <c r="A235" s="12">
        <f t="shared" si="5"/>
        <v>233</v>
      </c>
      <c r="B235" s="8"/>
      <c r="C235" s="8"/>
      <c r="D235" s="50"/>
      <c r="E235" s="8"/>
      <c r="F235" s="8"/>
      <c r="G235" s="9"/>
      <c r="H235" s="8"/>
      <c r="I235" s="10" t="s">
        <v>37</v>
      </c>
      <c r="J235" s="7"/>
      <c r="K235" s="7" t="s">
        <v>38</v>
      </c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43" t="s">
        <v>442</v>
      </c>
      <c r="AI235" s="43" t="s">
        <v>40</v>
      </c>
      <c r="AJ235" s="43" t="s">
        <v>442</v>
      </c>
      <c r="AK235" s="8"/>
      <c r="AL235" s="1"/>
    </row>
    <row r="236" spans="1:38" s="41" customFormat="1" x14ac:dyDescent="0.2">
      <c r="A236" s="12">
        <f t="shared" si="5"/>
        <v>234</v>
      </c>
      <c r="B236" s="8"/>
      <c r="C236" s="8"/>
      <c r="D236" s="9"/>
      <c r="E236" s="11"/>
      <c r="F236" s="11"/>
      <c r="G236" s="19"/>
      <c r="H236" s="8"/>
      <c r="I236" s="10" t="s">
        <v>37</v>
      </c>
      <c r="J236" s="7"/>
      <c r="K236" s="7" t="s">
        <v>38</v>
      </c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43" t="s">
        <v>443</v>
      </c>
      <c r="AI236" s="43" t="s">
        <v>40</v>
      </c>
      <c r="AJ236" s="43" t="s">
        <v>236</v>
      </c>
      <c r="AK236" s="8"/>
      <c r="AL236" s="1"/>
    </row>
    <row r="237" spans="1:38" s="41" customFormat="1" x14ac:dyDescent="0.2">
      <c r="A237" s="12">
        <f t="shared" si="5"/>
        <v>235</v>
      </c>
      <c r="B237" s="8"/>
      <c r="C237" s="8"/>
      <c r="D237" s="9"/>
      <c r="E237" s="8"/>
      <c r="F237" s="8"/>
      <c r="G237" s="9"/>
      <c r="H237" s="8"/>
      <c r="I237" s="10" t="s">
        <v>37</v>
      </c>
      <c r="J237" s="7"/>
      <c r="K237" s="7" t="s">
        <v>38</v>
      </c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 t="s">
        <v>38</v>
      </c>
      <c r="AE237" s="7"/>
      <c r="AF237" s="7"/>
      <c r="AG237" s="7"/>
      <c r="AH237" s="43" t="s">
        <v>444</v>
      </c>
      <c r="AI237" s="43" t="s">
        <v>40</v>
      </c>
      <c r="AJ237" s="43" t="s">
        <v>445</v>
      </c>
      <c r="AK237" s="8"/>
      <c r="AL237" s="1"/>
    </row>
    <row r="238" spans="1:38" s="41" customFormat="1" x14ac:dyDescent="0.2">
      <c r="A238" s="12">
        <f t="shared" si="5"/>
        <v>236</v>
      </c>
      <c r="B238" s="8"/>
      <c r="C238" s="8"/>
      <c r="D238" s="9"/>
      <c r="E238" s="8"/>
      <c r="F238" s="8"/>
      <c r="G238" s="9"/>
      <c r="H238" s="8"/>
      <c r="I238" s="10" t="s">
        <v>37</v>
      </c>
      <c r="J238" s="7"/>
      <c r="K238" s="7" t="s">
        <v>38</v>
      </c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 t="s">
        <v>38</v>
      </c>
      <c r="AE238" s="7"/>
      <c r="AF238" s="7"/>
      <c r="AG238" s="7"/>
      <c r="AH238" s="43" t="s">
        <v>446</v>
      </c>
      <c r="AI238" s="43" t="s">
        <v>40</v>
      </c>
      <c r="AJ238" s="43" t="s">
        <v>446</v>
      </c>
      <c r="AK238" s="8"/>
      <c r="AL238" s="1"/>
    </row>
    <row r="239" spans="1:38" s="41" customFormat="1" x14ac:dyDescent="0.2">
      <c r="A239" s="12">
        <f t="shared" si="5"/>
        <v>237</v>
      </c>
      <c r="B239" s="8"/>
      <c r="C239" s="8"/>
      <c r="D239" s="9"/>
      <c r="E239" s="8"/>
      <c r="F239" s="8"/>
      <c r="G239" s="9"/>
      <c r="H239" s="8"/>
      <c r="I239" s="10" t="s">
        <v>37</v>
      </c>
      <c r="J239" s="7"/>
      <c r="K239" s="7" t="s">
        <v>38</v>
      </c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43" t="s">
        <v>328</v>
      </c>
      <c r="AI239" s="43" t="s">
        <v>40</v>
      </c>
      <c r="AJ239" s="43" t="s">
        <v>328</v>
      </c>
      <c r="AK239" s="8"/>
      <c r="AL239" s="1"/>
    </row>
    <row r="240" spans="1:38" s="41" customFormat="1" x14ac:dyDescent="0.2">
      <c r="A240" s="12">
        <f t="shared" si="5"/>
        <v>238</v>
      </c>
      <c r="B240" s="8"/>
      <c r="C240" s="8"/>
      <c r="D240" s="9"/>
      <c r="E240" s="8"/>
      <c r="F240" s="8"/>
      <c r="G240" s="51"/>
      <c r="H240" s="8"/>
      <c r="I240" s="10" t="s">
        <v>112</v>
      </c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 t="s">
        <v>447</v>
      </c>
      <c r="AD240" s="7"/>
      <c r="AE240" s="7"/>
      <c r="AF240" s="7"/>
      <c r="AG240" s="7"/>
      <c r="AH240" s="43" t="s">
        <v>137</v>
      </c>
      <c r="AI240" s="43" t="s">
        <v>40</v>
      </c>
      <c r="AJ240" s="43" t="s">
        <v>137</v>
      </c>
      <c r="AK240" s="8"/>
      <c r="AL240" s="1"/>
    </row>
    <row r="241" spans="1:38" s="41" customFormat="1" x14ac:dyDescent="0.2">
      <c r="A241" s="12">
        <f t="shared" si="5"/>
        <v>239</v>
      </c>
      <c r="B241" s="8"/>
      <c r="C241" s="8"/>
      <c r="D241" s="9"/>
      <c r="E241" s="8"/>
      <c r="F241" s="8"/>
      <c r="G241" s="9"/>
      <c r="H241" s="8"/>
      <c r="I241" s="10" t="s">
        <v>112</v>
      </c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 t="s">
        <v>448</v>
      </c>
      <c r="AD241" s="7" t="s">
        <v>38</v>
      </c>
      <c r="AE241" s="7"/>
      <c r="AF241" s="7"/>
      <c r="AG241" s="7"/>
      <c r="AH241" s="43" t="s">
        <v>449</v>
      </c>
      <c r="AI241" s="43" t="s">
        <v>40</v>
      </c>
      <c r="AJ241" s="43" t="s">
        <v>449</v>
      </c>
      <c r="AK241" s="8"/>
      <c r="AL241" s="1"/>
    </row>
    <row r="242" spans="1:38" s="41" customFormat="1" x14ac:dyDescent="0.2">
      <c r="A242" s="12">
        <f t="shared" si="5"/>
        <v>240</v>
      </c>
      <c r="B242" s="8"/>
      <c r="C242" s="8"/>
      <c r="D242" s="9"/>
      <c r="E242" s="8"/>
      <c r="F242" s="8"/>
      <c r="G242" s="52"/>
      <c r="H242" s="8"/>
      <c r="I242" s="10" t="s">
        <v>37</v>
      </c>
      <c r="J242" s="7"/>
      <c r="K242" s="7" t="s">
        <v>38</v>
      </c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 t="s">
        <v>38</v>
      </c>
      <c r="AE242" s="7" t="s">
        <v>38</v>
      </c>
      <c r="AF242" s="7"/>
      <c r="AG242" s="7"/>
      <c r="AH242" s="43" t="s">
        <v>450</v>
      </c>
      <c r="AI242" s="43" t="s">
        <v>40</v>
      </c>
      <c r="AJ242" s="43" t="s">
        <v>244</v>
      </c>
      <c r="AK242" s="8"/>
      <c r="AL242" s="1"/>
    </row>
    <row r="243" spans="1:38" s="41" customFormat="1" x14ac:dyDescent="0.2">
      <c r="A243" s="12">
        <f t="shared" si="5"/>
        <v>241</v>
      </c>
      <c r="B243" s="8"/>
      <c r="C243" s="8"/>
      <c r="D243" s="9"/>
      <c r="E243" s="8"/>
      <c r="F243" s="8"/>
      <c r="G243" s="9"/>
      <c r="H243" s="8"/>
      <c r="I243" s="10" t="s">
        <v>112</v>
      </c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 t="s">
        <v>38</v>
      </c>
      <c r="Y243" s="7" t="s">
        <v>38</v>
      </c>
      <c r="Z243" s="7" t="s">
        <v>38</v>
      </c>
      <c r="AA243" s="7" t="s">
        <v>38</v>
      </c>
      <c r="AB243" s="7"/>
      <c r="AC243" s="7" t="s">
        <v>451</v>
      </c>
      <c r="AD243" s="7"/>
      <c r="AE243" s="7"/>
      <c r="AF243" s="7"/>
      <c r="AG243" s="7"/>
      <c r="AH243" s="43" t="s">
        <v>452</v>
      </c>
      <c r="AI243" s="43" t="s">
        <v>40</v>
      </c>
      <c r="AJ243" s="43" t="s">
        <v>453</v>
      </c>
      <c r="AK243" s="8"/>
      <c r="AL243" s="1"/>
    </row>
    <row r="244" spans="1:38" s="41" customFormat="1" x14ac:dyDescent="0.2">
      <c r="A244" s="12">
        <f t="shared" si="5"/>
        <v>242</v>
      </c>
      <c r="B244" s="8"/>
      <c r="C244" s="8"/>
      <c r="D244" s="9"/>
      <c r="E244" s="8"/>
      <c r="F244" s="8"/>
      <c r="G244" s="9"/>
      <c r="H244" s="8"/>
      <c r="I244" s="10" t="s">
        <v>50</v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 t="s">
        <v>38</v>
      </c>
      <c r="Y244" s="7" t="s">
        <v>38</v>
      </c>
      <c r="Z244" s="7" t="s">
        <v>38</v>
      </c>
      <c r="AA244" s="7" t="s">
        <v>38</v>
      </c>
      <c r="AB244" s="7"/>
      <c r="AC244" s="7" t="s">
        <v>454</v>
      </c>
      <c r="AD244" s="7" t="s">
        <v>38</v>
      </c>
      <c r="AE244" s="7" t="s">
        <v>38</v>
      </c>
      <c r="AF244" s="7"/>
      <c r="AG244" s="7"/>
      <c r="AH244" s="43" t="s">
        <v>236</v>
      </c>
      <c r="AI244" s="43" t="s">
        <v>40</v>
      </c>
      <c r="AJ244" s="43" t="s">
        <v>236</v>
      </c>
      <c r="AK244" s="8"/>
      <c r="AL244" s="1"/>
    </row>
    <row r="245" spans="1:38" s="41" customFormat="1" x14ac:dyDescent="0.2">
      <c r="A245" s="12">
        <f t="shared" si="5"/>
        <v>243</v>
      </c>
      <c r="B245" s="8"/>
      <c r="C245" s="8"/>
      <c r="D245" s="9"/>
      <c r="E245" s="8"/>
      <c r="F245" s="8"/>
      <c r="G245" s="9"/>
      <c r="H245" s="8"/>
      <c r="I245" s="10" t="s">
        <v>50</v>
      </c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 t="s">
        <v>38</v>
      </c>
      <c r="Y245" s="7" t="s">
        <v>38</v>
      </c>
      <c r="Z245" s="7" t="s">
        <v>38</v>
      </c>
      <c r="AA245" s="7" t="s">
        <v>38</v>
      </c>
      <c r="AB245" s="7"/>
      <c r="AC245" s="7" t="s">
        <v>455</v>
      </c>
      <c r="AD245" s="7"/>
      <c r="AE245" s="7"/>
      <c r="AF245" s="7"/>
      <c r="AG245" s="7"/>
      <c r="AH245" s="43" t="s">
        <v>106</v>
      </c>
      <c r="AI245" s="43" t="s">
        <v>40</v>
      </c>
      <c r="AJ245" s="43" t="s">
        <v>106</v>
      </c>
      <c r="AK245" s="8"/>
      <c r="AL245" s="1"/>
    </row>
    <row r="246" spans="1:38" x14ac:dyDescent="0.2">
      <c r="A246" s="12">
        <f t="shared" si="5"/>
        <v>244</v>
      </c>
      <c r="B246" s="8"/>
      <c r="C246" s="8"/>
      <c r="D246" s="9"/>
      <c r="E246" s="8"/>
      <c r="F246" s="8"/>
      <c r="G246" s="9"/>
      <c r="H246" s="8"/>
      <c r="I246" s="10" t="s">
        <v>50</v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 t="s">
        <v>38</v>
      </c>
      <c r="Y246" s="7" t="s">
        <v>38</v>
      </c>
      <c r="Z246" s="7" t="s">
        <v>38</v>
      </c>
      <c r="AA246" s="7" t="s">
        <v>38</v>
      </c>
      <c r="AB246" s="7"/>
      <c r="AC246" s="7"/>
      <c r="AD246" s="7" t="s">
        <v>38</v>
      </c>
      <c r="AE246" s="7" t="s">
        <v>38</v>
      </c>
      <c r="AF246" s="7"/>
      <c r="AG246" s="7"/>
      <c r="AH246" s="43" t="s">
        <v>456</v>
      </c>
      <c r="AI246" s="43" t="s">
        <v>40</v>
      </c>
      <c r="AJ246" s="43" t="s">
        <v>435</v>
      </c>
      <c r="AK246" s="8"/>
    </row>
    <row r="247" spans="1:38" x14ac:dyDescent="0.2">
      <c r="A247" s="12">
        <f t="shared" si="5"/>
        <v>245</v>
      </c>
      <c r="B247" s="8"/>
      <c r="C247" s="8"/>
      <c r="D247" s="9"/>
      <c r="E247" s="8"/>
      <c r="F247" s="8"/>
      <c r="G247" s="9"/>
      <c r="H247" s="8"/>
      <c r="I247" s="10" t="s">
        <v>50</v>
      </c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 t="s">
        <v>38</v>
      </c>
      <c r="Y247" s="7" t="s">
        <v>38</v>
      </c>
      <c r="Z247" s="7" t="s">
        <v>38</v>
      </c>
      <c r="AA247" s="7"/>
      <c r="AB247" s="7"/>
      <c r="AC247" s="7"/>
      <c r="AD247" s="7"/>
      <c r="AE247" s="7"/>
      <c r="AF247" s="7"/>
      <c r="AG247" s="7"/>
      <c r="AH247" s="43" t="s">
        <v>450</v>
      </c>
      <c r="AI247" s="43" t="s">
        <v>40</v>
      </c>
      <c r="AJ247" s="43" t="s">
        <v>244</v>
      </c>
      <c r="AK247" s="8"/>
    </row>
    <row r="248" spans="1:38" x14ac:dyDescent="0.2">
      <c r="A248" s="12">
        <f t="shared" si="5"/>
        <v>246</v>
      </c>
      <c r="B248" s="8"/>
      <c r="C248" s="8"/>
      <c r="D248" s="9"/>
      <c r="E248" s="8"/>
      <c r="F248" s="8"/>
      <c r="G248" s="9"/>
      <c r="H248" s="8"/>
      <c r="I248" s="10" t="s">
        <v>50</v>
      </c>
      <c r="J248" s="7"/>
      <c r="K248" s="7"/>
      <c r="L248" s="7"/>
      <c r="M248" s="7"/>
      <c r="N248" s="7"/>
      <c r="O248" s="7"/>
      <c r="P248" s="7"/>
      <c r="Q248" s="7"/>
      <c r="R248" s="7"/>
      <c r="S248" s="7" t="s">
        <v>38</v>
      </c>
      <c r="T248" s="7"/>
      <c r="U248" s="7"/>
      <c r="V248" s="7"/>
      <c r="W248" s="7"/>
      <c r="X248" s="7"/>
      <c r="Y248" s="7"/>
      <c r="Z248" s="7"/>
      <c r="AA248" s="7"/>
      <c r="AB248" s="7"/>
      <c r="AC248" s="7" t="s">
        <v>457</v>
      </c>
      <c r="AD248" s="7"/>
      <c r="AE248" s="7"/>
      <c r="AF248" s="7"/>
      <c r="AG248" s="7"/>
      <c r="AH248" s="43" t="s">
        <v>383</v>
      </c>
      <c r="AI248" s="43" t="s">
        <v>40</v>
      </c>
      <c r="AJ248" s="43" t="s">
        <v>458</v>
      </c>
      <c r="AK248" s="8"/>
    </row>
    <row r="249" spans="1:38" x14ac:dyDescent="0.2">
      <c r="A249" s="12">
        <f t="shared" si="5"/>
        <v>247</v>
      </c>
      <c r="B249" s="8"/>
      <c r="C249" s="8"/>
      <c r="D249" s="9"/>
      <c r="E249" s="8"/>
      <c r="F249" s="8"/>
      <c r="G249" s="9"/>
      <c r="H249" s="8"/>
      <c r="I249" s="10" t="s">
        <v>50</v>
      </c>
      <c r="J249" s="7" t="s">
        <v>38</v>
      </c>
      <c r="K249" s="7" t="s">
        <v>38</v>
      </c>
      <c r="L249" s="7" t="s">
        <v>38</v>
      </c>
      <c r="M249" s="53" t="s">
        <v>38</v>
      </c>
      <c r="N249" s="53" t="s">
        <v>38</v>
      </c>
      <c r="O249" s="7"/>
      <c r="P249" s="53" t="s">
        <v>38</v>
      </c>
      <c r="Q249" s="7"/>
      <c r="R249" s="53" t="s">
        <v>38</v>
      </c>
      <c r="S249" s="7"/>
      <c r="T249" s="7"/>
      <c r="U249" s="7"/>
      <c r="V249" s="7"/>
      <c r="W249" s="7"/>
      <c r="X249" s="53"/>
      <c r="Y249" s="7"/>
      <c r="Z249" s="7"/>
      <c r="AA249" s="7"/>
      <c r="AB249" s="7"/>
      <c r="AC249" s="7"/>
      <c r="AD249" s="7"/>
      <c r="AE249" s="7"/>
      <c r="AF249" s="7"/>
      <c r="AG249" s="7"/>
      <c r="AH249" s="43" t="s">
        <v>82</v>
      </c>
      <c r="AI249" s="43" t="s">
        <v>40</v>
      </c>
      <c r="AJ249" s="43" t="s">
        <v>82</v>
      </c>
      <c r="AK249" s="8"/>
    </row>
    <row r="250" spans="1:38" x14ac:dyDescent="0.2">
      <c r="A250" s="12">
        <f t="shared" si="5"/>
        <v>248</v>
      </c>
      <c r="B250" s="8"/>
      <c r="C250" s="8"/>
      <c r="D250" s="9"/>
      <c r="E250" s="8"/>
      <c r="F250" s="8"/>
      <c r="G250" s="9"/>
      <c r="H250" s="8"/>
      <c r="I250" s="10" t="s">
        <v>50</v>
      </c>
      <c r="J250" s="7" t="s">
        <v>38</v>
      </c>
      <c r="K250" s="7" t="s">
        <v>38</v>
      </c>
      <c r="L250" s="7" t="s">
        <v>38</v>
      </c>
      <c r="M250" s="54" t="s">
        <v>38</v>
      </c>
      <c r="N250" s="54" t="s">
        <v>38</v>
      </c>
      <c r="O250" s="7" t="s">
        <v>38</v>
      </c>
      <c r="P250" s="54" t="s">
        <v>38</v>
      </c>
      <c r="Q250" s="7"/>
      <c r="R250" s="54" t="s">
        <v>38</v>
      </c>
      <c r="S250" s="7"/>
      <c r="T250" s="7"/>
      <c r="U250" s="7"/>
      <c r="V250" s="7"/>
      <c r="W250" s="7"/>
      <c r="X250" s="54" t="s">
        <v>38</v>
      </c>
      <c r="Y250" s="7" t="s">
        <v>38</v>
      </c>
      <c r="Z250" s="7" t="s">
        <v>38</v>
      </c>
      <c r="AA250" s="7" t="s">
        <v>38</v>
      </c>
      <c r="AB250" s="7"/>
      <c r="AC250" s="7" t="s">
        <v>459</v>
      </c>
      <c r="AD250" s="7" t="s">
        <v>38</v>
      </c>
      <c r="AE250" s="7"/>
      <c r="AF250" s="7"/>
      <c r="AG250" s="7"/>
      <c r="AH250" s="43" t="s">
        <v>82</v>
      </c>
      <c r="AI250" s="43" t="s">
        <v>40</v>
      </c>
      <c r="AJ250" s="43" t="s">
        <v>82</v>
      </c>
      <c r="AK250" s="8"/>
    </row>
    <row r="251" spans="1:38" x14ac:dyDescent="0.2">
      <c r="A251" s="12">
        <f t="shared" si="5"/>
        <v>249</v>
      </c>
      <c r="B251" s="8"/>
      <c r="C251" s="8"/>
      <c r="D251" s="9"/>
      <c r="E251" s="8"/>
      <c r="F251" s="8"/>
      <c r="G251" s="9"/>
      <c r="H251" s="8"/>
      <c r="I251" s="10" t="s">
        <v>37</v>
      </c>
      <c r="J251" s="7" t="s">
        <v>38</v>
      </c>
      <c r="K251" s="7" t="s">
        <v>38</v>
      </c>
      <c r="L251" s="7" t="s">
        <v>38</v>
      </c>
      <c r="M251" s="54" t="s">
        <v>38</v>
      </c>
      <c r="N251" s="54" t="s">
        <v>38</v>
      </c>
      <c r="O251" s="7" t="s">
        <v>38</v>
      </c>
      <c r="P251" s="54" t="s">
        <v>38</v>
      </c>
      <c r="Q251" s="7"/>
      <c r="R251" s="54" t="s">
        <v>38</v>
      </c>
      <c r="S251" s="7"/>
      <c r="T251" s="7"/>
      <c r="U251" s="7"/>
      <c r="V251" s="7"/>
      <c r="W251" s="7"/>
      <c r="X251" s="54"/>
      <c r="Y251" s="7"/>
      <c r="Z251" s="7"/>
      <c r="AA251" s="7"/>
      <c r="AB251" s="7"/>
      <c r="AC251" s="7"/>
      <c r="AD251" s="7"/>
      <c r="AE251" s="7"/>
      <c r="AF251" s="7"/>
      <c r="AG251" s="7"/>
      <c r="AH251" s="43" t="s">
        <v>66</v>
      </c>
      <c r="AI251" s="43" t="s">
        <v>56</v>
      </c>
      <c r="AJ251" s="43" t="s">
        <v>66</v>
      </c>
      <c r="AK251" s="8"/>
    </row>
    <row r="252" spans="1:38" x14ac:dyDescent="0.2">
      <c r="A252" s="12">
        <f t="shared" si="5"/>
        <v>250</v>
      </c>
      <c r="B252" s="8"/>
      <c r="C252" s="8"/>
      <c r="D252" s="9"/>
      <c r="E252" s="8"/>
      <c r="F252" s="8"/>
      <c r="G252" s="9"/>
      <c r="H252" s="8"/>
      <c r="I252" s="10" t="s">
        <v>50</v>
      </c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 t="s">
        <v>38</v>
      </c>
      <c r="Y252" s="7"/>
      <c r="Z252" s="7" t="s">
        <v>38</v>
      </c>
      <c r="AA252" s="7" t="s">
        <v>38</v>
      </c>
      <c r="AB252" s="7" t="s">
        <v>38</v>
      </c>
      <c r="AC252" s="7"/>
      <c r="AD252" s="7" t="s">
        <v>38</v>
      </c>
      <c r="AE252" s="7" t="s">
        <v>38</v>
      </c>
      <c r="AF252" s="7"/>
      <c r="AG252" s="7"/>
      <c r="AH252" s="43" t="s">
        <v>82</v>
      </c>
      <c r="AI252" s="43" t="s">
        <v>47</v>
      </c>
      <c r="AJ252" s="43" t="s">
        <v>75</v>
      </c>
      <c r="AK252" s="8"/>
    </row>
    <row r="253" spans="1:38" ht="34" x14ac:dyDescent="0.2">
      <c r="A253" s="12">
        <f t="shared" si="5"/>
        <v>251</v>
      </c>
      <c r="B253" s="8"/>
      <c r="C253" s="8"/>
      <c r="D253" s="9"/>
      <c r="E253" s="8"/>
      <c r="F253" s="8"/>
      <c r="G253" s="9"/>
      <c r="H253" s="8"/>
      <c r="I253" s="10" t="s">
        <v>37</v>
      </c>
      <c r="J253" s="7" t="s">
        <v>38</v>
      </c>
      <c r="K253" s="7" t="s">
        <v>38</v>
      </c>
      <c r="L253" s="7"/>
      <c r="M253" s="7" t="s">
        <v>38</v>
      </c>
      <c r="N253" s="7" t="s">
        <v>38</v>
      </c>
      <c r="O253" s="7" t="s">
        <v>38</v>
      </c>
      <c r="P253" s="7" t="s">
        <v>38</v>
      </c>
      <c r="Q253" s="7"/>
      <c r="R253" s="7" t="s">
        <v>38</v>
      </c>
      <c r="S253" s="7"/>
      <c r="T253" s="7"/>
      <c r="U253" s="7" t="s">
        <v>38</v>
      </c>
      <c r="V253" s="7"/>
      <c r="W253" s="7"/>
      <c r="X253" s="7" t="s">
        <v>38</v>
      </c>
      <c r="Y253" s="7" t="s">
        <v>38</v>
      </c>
      <c r="Z253" s="7" t="s">
        <v>38</v>
      </c>
      <c r="AA253" s="7" t="s">
        <v>38</v>
      </c>
      <c r="AB253" s="7"/>
      <c r="AC253" s="21" t="s">
        <v>460</v>
      </c>
      <c r="AD253" s="7"/>
      <c r="AE253" s="7"/>
      <c r="AF253" s="7"/>
      <c r="AG253" s="7"/>
      <c r="AH253" s="43" t="s">
        <v>43</v>
      </c>
      <c r="AI253" s="43" t="s">
        <v>40</v>
      </c>
      <c r="AJ253" s="43" t="s">
        <v>44</v>
      </c>
      <c r="AK253" s="8"/>
    </row>
    <row r="254" spans="1:38" x14ac:dyDescent="0.2">
      <c r="A254" s="12">
        <f t="shared" si="5"/>
        <v>252</v>
      </c>
      <c r="B254" s="8"/>
      <c r="C254" s="8"/>
      <c r="D254" s="9"/>
      <c r="E254" s="8"/>
      <c r="F254" s="8"/>
      <c r="G254" s="19"/>
      <c r="H254" s="8"/>
      <c r="I254" s="10" t="s">
        <v>37</v>
      </c>
      <c r="J254" s="7" t="s">
        <v>38</v>
      </c>
      <c r="K254" s="7" t="s">
        <v>38</v>
      </c>
      <c r="L254" s="7"/>
      <c r="M254" s="7" t="s">
        <v>38</v>
      </c>
      <c r="N254" s="7" t="s">
        <v>38</v>
      </c>
      <c r="O254" s="7"/>
      <c r="P254" s="7" t="s">
        <v>38</v>
      </c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43" t="s">
        <v>461</v>
      </c>
      <c r="AI254" s="43" t="s">
        <v>40</v>
      </c>
      <c r="AJ254" s="43" t="s">
        <v>462</v>
      </c>
      <c r="AK254" s="8"/>
    </row>
    <row r="255" spans="1:38" ht="34" x14ac:dyDescent="0.2">
      <c r="A255" s="12">
        <f t="shared" si="5"/>
        <v>253</v>
      </c>
      <c r="B255" s="8"/>
      <c r="C255" s="8"/>
      <c r="D255" s="9"/>
      <c r="E255" s="8"/>
      <c r="F255" s="8"/>
      <c r="G255" s="19"/>
      <c r="H255" s="8"/>
      <c r="I255" s="10" t="s">
        <v>50</v>
      </c>
      <c r="J255" s="7" t="s">
        <v>38</v>
      </c>
      <c r="K255" s="7" t="s">
        <v>38</v>
      </c>
      <c r="L255" s="7" t="s">
        <v>38</v>
      </c>
      <c r="M255" s="7" t="s">
        <v>38</v>
      </c>
      <c r="N255" s="7" t="s">
        <v>38</v>
      </c>
      <c r="O255" s="7"/>
      <c r="P255" s="7" t="s">
        <v>38</v>
      </c>
      <c r="Q255" s="7" t="s">
        <v>463</v>
      </c>
      <c r="R255" s="7" t="s">
        <v>38</v>
      </c>
      <c r="S255" s="7" t="s">
        <v>38</v>
      </c>
      <c r="T255" s="7" t="s">
        <v>38</v>
      </c>
      <c r="U255" s="7"/>
      <c r="V255" s="7"/>
      <c r="W255" s="7"/>
      <c r="X255" s="7"/>
      <c r="Y255" s="7"/>
      <c r="Z255" s="7" t="s">
        <v>38</v>
      </c>
      <c r="AA255" s="7"/>
      <c r="AB255" s="7"/>
      <c r="AC255" s="21" t="s">
        <v>464</v>
      </c>
      <c r="AD255" s="7" t="s">
        <v>38</v>
      </c>
      <c r="AE255" s="7" t="s">
        <v>38</v>
      </c>
      <c r="AF255" s="7"/>
      <c r="AG255" s="7"/>
      <c r="AH255" s="43" t="s">
        <v>236</v>
      </c>
      <c r="AI255" s="43" t="s">
        <v>40</v>
      </c>
      <c r="AJ255" s="43" t="s">
        <v>236</v>
      </c>
      <c r="AK255" s="8"/>
    </row>
    <row r="256" spans="1:38" x14ac:dyDescent="0.2">
      <c r="A256" s="12">
        <f t="shared" si="5"/>
        <v>254</v>
      </c>
      <c r="B256" s="8"/>
      <c r="C256" s="8"/>
      <c r="D256" s="9"/>
      <c r="E256" s="8"/>
      <c r="F256" s="8"/>
      <c r="G256" s="9"/>
      <c r="H256" s="8"/>
      <c r="I256" s="10" t="s">
        <v>50</v>
      </c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 t="s">
        <v>38</v>
      </c>
      <c r="AE256" s="7" t="s">
        <v>38</v>
      </c>
      <c r="AF256" s="7" t="s">
        <v>38</v>
      </c>
      <c r="AG256" s="7"/>
      <c r="AH256" s="43" t="s">
        <v>269</v>
      </c>
      <c r="AI256" s="43" t="s">
        <v>47</v>
      </c>
      <c r="AJ256" s="43" t="s">
        <v>465</v>
      </c>
      <c r="AK256" s="8"/>
    </row>
    <row r="257" spans="1:37" x14ac:dyDescent="0.2">
      <c r="A257" s="12">
        <f t="shared" si="5"/>
        <v>255</v>
      </c>
      <c r="B257" s="8"/>
      <c r="C257" s="8"/>
      <c r="D257" s="9"/>
      <c r="E257" s="11"/>
      <c r="F257" s="11"/>
      <c r="G257" s="19"/>
      <c r="H257" s="8"/>
      <c r="I257" s="10" t="s">
        <v>50</v>
      </c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 t="s">
        <v>38</v>
      </c>
      <c r="Z257" s="7"/>
      <c r="AA257" s="7"/>
      <c r="AB257" s="7"/>
      <c r="AC257" s="7"/>
      <c r="AD257" s="7" t="s">
        <v>38</v>
      </c>
      <c r="AE257" s="7"/>
      <c r="AF257" s="7" t="s">
        <v>38</v>
      </c>
      <c r="AG257" s="7"/>
      <c r="AH257" s="43" t="s">
        <v>269</v>
      </c>
      <c r="AI257" s="43" t="s">
        <v>40</v>
      </c>
      <c r="AJ257" s="43" t="s">
        <v>75</v>
      </c>
      <c r="AK257" s="8"/>
    </row>
    <row r="258" spans="1:37" x14ac:dyDescent="0.2">
      <c r="A258" s="12">
        <f t="shared" si="5"/>
        <v>256</v>
      </c>
      <c r="B258" s="8"/>
      <c r="C258" s="8"/>
      <c r="D258" s="9"/>
      <c r="E258" s="8"/>
      <c r="F258" s="8"/>
      <c r="G258" s="9"/>
      <c r="H258" s="8"/>
      <c r="I258" s="10" t="s">
        <v>114</v>
      </c>
      <c r="J258" s="7" t="s">
        <v>38</v>
      </c>
      <c r="K258" s="7" t="s">
        <v>38</v>
      </c>
      <c r="L258" s="7"/>
      <c r="M258" s="7" t="s">
        <v>38</v>
      </c>
      <c r="N258" s="7" t="s">
        <v>38</v>
      </c>
      <c r="O258" s="7" t="s">
        <v>38</v>
      </c>
      <c r="P258" s="7" t="s">
        <v>38</v>
      </c>
      <c r="Q258" s="7"/>
      <c r="R258" s="7" t="s">
        <v>38</v>
      </c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 t="s">
        <v>38</v>
      </c>
      <c r="AE258" s="7"/>
      <c r="AF258" s="7"/>
      <c r="AG258" s="7" t="s">
        <v>38</v>
      </c>
      <c r="AH258" s="43" t="s">
        <v>248</v>
      </c>
      <c r="AI258" s="43" t="s">
        <v>47</v>
      </c>
      <c r="AJ258" s="43" t="s">
        <v>466</v>
      </c>
      <c r="AK258" s="8"/>
    </row>
    <row r="259" spans="1:37" x14ac:dyDescent="0.2">
      <c r="A259" s="12">
        <f t="shared" si="5"/>
        <v>257</v>
      </c>
      <c r="B259" s="8"/>
      <c r="C259" s="8"/>
      <c r="D259" s="9"/>
      <c r="E259" s="8"/>
      <c r="F259" s="8"/>
      <c r="G259" s="9"/>
      <c r="H259" s="8"/>
      <c r="I259" s="10" t="s">
        <v>114</v>
      </c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 t="s">
        <v>38</v>
      </c>
      <c r="Y259" s="7"/>
      <c r="Z259" s="7" t="s">
        <v>38</v>
      </c>
      <c r="AA259" s="7"/>
      <c r="AB259" s="7"/>
      <c r="AC259" s="7"/>
      <c r="AD259" s="7" t="s">
        <v>38</v>
      </c>
      <c r="AE259" s="7" t="s">
        <v>38</v>
      </c>
      <c r="AF259" s="7" t="s">
        <v>38</v>
      </c>
      <c r="AG259" s="7"/>
      <c r="AH259" s="43" t="s">
        <v>269</v>
      </c>
      <c r="AI259" s="43" t="s">
        <v>47</v>
      </c>
      <c r="AJ259" s="43" t="s">
        <v>75</v>
      </c>
      <c r="AK259" s="8"/>
    </row>
    <row r="260" spans="1:37" x14ac:dyDescent="0.2">
      <c r="A260" s="12">
        <f t="shared" si="5"/>
        <v>258</v>
      </c>
      <c r="B260" s="8"/>
      <c r="C260" s="8"/>
      <c r="D260" s="9"/>
      <c r="E260" s="11"/>
      <c r="F260" s="11"/>
      <c r="G260" s="19"/>
      <c r="H260" s="8"/>
      <c r="I260" s="10" t="s">
        <v>50</v>
      </c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43" t="s">
        <v>467</v>
      </c>
      <c r="AI260" s="43" t="s">
        <v>56</v>
      </c>
      <c r="AJ260" s="43" t="s">
        <v>468</v>
      </c>
      <c r="AK260" s="8"/>
    </row>
    <row r="261" spans="1:37" x14ac:dyDescent="0.2">
      <c r="A261" s="12">
        <f t="shared" si="5"/>
        <v>259</v>
      </c>
      <c r="B261" s="8"/>
      <c r="C261" s="8"/>
      <c r="D261" s="9"/>
      <c r="E261" s="11"/>
      <c r="F261" s="11"/>
      <c r="G261" s="9"/>
      <c r="H261" s="8"/>
      <c r="I261" s="10" t="s">
        <v>50</v>
      </c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 t="s">
        <v>38</v>
      </c>
      <c r="AE261" s="7" t="s">
        <v>38</v>
      </c>
      <c r="AF261" s="7" t="s">
        <v>38</v>
      </c>
      <c r="AG261" s="7"/>
      <c r="AH261" s="43" t="s">
        <v>269</v>
      </c>
      <c r="AI261" s="43" t="s">
        <v>47</v>
      </c>
      <c r="AJ261" s="43" t="s">
        <v>75</v>
      </c>
      <c r="AK261" s="8"/>
    </row>
    <row r="262" spans="1:37" x14ac:dyDescent="0.2">
      <c r="A262" s="12">
        <f t="shared" si="5"/>
        <v>260</v>
      </c>
      <c r="B262" s="8"/>
      <c r="C262" s="8"/>
      <c r="D262" s="9"/>
      <c r="E262" s="8"/>
      <c r="F262" s="8"/>
      <c r="G262" s="9"/>
      <c r="H262" s="8"/>
      <c r="I262" s="10" t="s">
        <v>112</v>
      </c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43"/>
      <c r="AI262" s="43"/>
      <c r="AJ262" s="43"/>
      <c r="AK262" s="8"/>
    </row>
    <row r="263" spans="1:37" x14ac:dyDescent="0.2">
      <c r="A263" s="12">
        <f t="shared" si="5"/>
        <v>261</v>
      </c>
      <c r="B263" s="8"/>
      <c r="C263" s="8"/>
      <c r="D263" s="9"/>
      <c r="E263" s="8"/>
      <c r="F263" s="8"/>
      <c r="G263" s="9"/>
      <c r="H263" s="8"/>
      <c r="I263" s="10" t="s">
        <v>114</v>
      </c>
      <c r="J263" s="7" t="s">
        <v>38</v>
      </c>
      <c r="K263" s="7" t="s">
        <v>38</v>
      </c>
      <c r="L263" s="7" t="s">
        <v>38</v>
      </c>
      <c r="M263" s="7" t="s">
        <v>38</v>
      </c>
      <c r="N263" s="7" t="s">
        <v>38</v>
      </c>
      <c r="O263" s="7" t="s">
        <v>38</v>
      </c>
      <c r="P263" s="7" t="s">
        <v>38</v>
      </c>
      <c r="Q263" s="7"/>
      <c r="R263" s="7" t="s">
        <v>38</v>
      </c>
      <c r="S263" s="7"/>
      <c r="T263" s="7"/>
      <c r="U263" s="7"/>
      <c r="V263" s="7"/>
      <c r="W263" s="7"/>
      <c r="X263" s="7" t="s">
        <v>38</v>
      </c>
      <c r="Y263" s="7" t="s">
        <v>38</v>
      </c>
      <c r="Z263" s="7" t="s">
        <v>38</v>
      </c>
      <c r="AA263" s="7"/>
      <c r="AB263" s="7"/>
      <c r="AC263" s="7"/>
      <c r="AD263" s="7" t="s">
        <v>38</v>
      </c>
      <c r="AE263" s="7" t="s">
        <v>38</v>
      </c>
      <c r="AF263" s="7"/>
      <c r="AG263" s="7" t="s">
        <v>38</v>
      </c>
      <c r="AH263" s="43" t="s">
        <v>269</v>
      </c>
      <c r="AI263" s="43" t="s">
        <v>47</v>
      </c>
      <c r="AJ263" s="43" t="s">
        <v>90</v>
      </c>
      <c r="AK263" s="8"/>
    </row>
    <row r="264" spans="1:37" x14ac:dyDescent="0.2">
      <c r="A264" s="12">
        <f t="shared" si="5"/>
        <v>262</v>
      </c>
      <c r="B264" s="8"/>
      <c r="C264" s="8"/>
      <c r="D264" s="9"/>
      <c r="E264" s="8"/>
      <c r="F264" s="8"/>
      <c r="G264" s="9"/>
      <c r="H264" s="8"/>
      <c r="I264" s="10" t="s">
        <v>50</v>
      </c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 t="s">
        <v>38</v>
      </c>
      <c r="AE264" s="7"/>
      <c r="AF264" s="7"/>
      <c r="AG264" s="7" t="s">
        <v>38</v>
      </c>
      <c r="AH264" s="43" t="s">
        <v>269</v>
      </c>
      <c r="AI264" s="43" t="s">
        <v>40</v>
      </c>
      <c r="AJ264" s="43" t="s">
        <v>75</v>
      </c>
      <c r="AK264" s="8"/>
    </row>
    <row r="265" spans="1:37" x14ac:dyDescent="0.2">
      <c r="A265" s="12">
        <f t="shared" si="5"/>
        <v>263</v>
      </c>
      <c r="B265" s="8"/>
      <c r="C265" s="8"/>
      <c r="D265" s="9"/>
      <c r="E265" s="8"/>
      <c r="F265" s="8"/>
      <c r="G265" s="9"/>
      <c r="H265" s="8"/>
      <c r="I265" s="10" t="s">
        <v>112</v>
      </c>
      <c r="J265" s="7"/>
      <c r="K265" s="7" t="s">
        <v>38</v>
      </c>
      <c r="L265" s="7" t="s">
        <v>38</v>
      </c>
      <c r="M265" s="7" t="s">
        <v>38</v>
      </c>
      <c r="N265" s="7"/>
      <c r="O265" s="7"/>
      <c r="P265" s="7" t="s">
        <v>38</v>
      </c>
      <c r="Q265" s="7"/>
      <c r="R265" s="7" t="s">
        <v>38</v>
      </c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 t="s">
        <v>38</v>
      </c>
      <c r="AE265" s="7"/>
      <c r="AF265" s="7" t="s">
        <v>38</v>
      </c>
      <c r="AG265" s="7"/>
      <c r="AH265" s="43" t="s">
        <v>469</v>
      </c>
      <c r="AI265" s="43" t="s">
        <v>56</v>
      </c>
      <c r="AJ265" s="43" t="s">
        <v>169</v>
      </c>
      <c r="AK265" s="8"/>
    </row>
    <row r="266" spans="1:37" x14ac:dyDescent="0.2">
      <c r="A266" s="12">
        <f t="shared" si="5"/>
        <v>264</v>
      </c>
      <c r="B266" s="8"/>
      <c r="C266" s="8"/>
      <c r="D266" s="9"/>
      <c r="E266" s="11"/>
      <c r="F266" s="11"/>
      <c r="G266" s="19"/>
      <c r="H266" s="8"/>
      <c r="I266" s="10" t="s">
        <v>114</v>
      </c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 t="s">
        <v>38</v>
      </c>
      <c r="AE266" s="7"/>
      <c r="AF266" s="7" t="s">
        <v>38</v>
      </c>
      <c r="AG266" s="7"/>
      <c r="AH266" s="43" t="s">
        <v>469</v>
      </c>
      <c r="AI266" s="43" t="s">
        <v>47</v>
      </c>
      <c r="AJ266" s="43" t="s">
        <v>169</v>
      </c>
      <c r="AK266" s="8"/>
    </row>
    <row r="267" spans="1:37" x14ac:dyDescent="0.2">
      <c r="A267" s="12">
        <f t="shared" si="5"/>
        <v>265</v>
      </c>
      <c r="B267" s="8"/>
      <c r="C267" s="8"/>
      <c r="D267" s="9"/>
      <c r="E267" s="8"/>
      <c r="F267" s="8"/>
      <c r="G267" s="9"/>
      <c r="H267" s="8"/>
      <c r="I267" s="10" t="s">
        <v>50</v>
      </c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 t="s">
        <v>38</v>
      </c>
      <c r="AE267" s="7" t="s">
        <v>38</v>
      </c>
      <c r="AF267" s="7" t="s">
        <v>38</v>
      </c>
      <c r="AG267" s="7"/>
      <c r="AH267" s="43" t="s">
        <v>269</v>
      </c>
      <c r="AI267" s="43" t="s">
        <v>47</v>
      </c>
      <c r="AJ267" s="43" t="s">
        <v>75</v>
      </c>
      <c r="AK267" s="8"/>
    </row>
    <row r="268" spans="1:37" x14ac:dyDescent="0.2">
      <c r="A268" s="12">
        <f t="shared" si="5"/>
        <v>266</v>
      </c>
      <c r="B268" s="8"/>
      <c r="C268" s="8"/>
      <c r="D268" s="9"/>
      <c r="E268" s="8"/>
      <c r="F268" s="8"/>
      <c r="G268" s="9"/>
      <c r="H268" s="8"/>
      <c r="I268" s="10" t="s">
        <v>114</v>
      </c>
      <c r="J268" s="7"/>
      <c r="K268" s="7" t="s">
        <v>38</v>
      </c>
      <c r="L268" s="7"/>
      <c r="M268" s="7" t="s">
        <v>38</v>
      </c>
      <c r="N268" s="7"/>
      <c r="O268" s="7" t="s">
        <v>38</v>
      </c>
      <c r="P268" s="7" t="s">
        <v>38</v>
      </c>
      <c r="Q268" s="7"/>
      <c r="R268" s="7" t="s">
        <v>38</v>
      </c>
      <c r="S268" s="7"/>
      <c r="T268" s="7"/>
      <c r="U268" s="7"/>
      <c r="V268" s="7"/>
      <c r="W268" s="7"/>
      <c r="X268" s="7" t="s">
        <v>38</v>
      </c>
      <c r="Y268" s="7" t="s">
        <v>38</v>
      </c>
      <c r="Z268" s="7"/>
      <c r="AA268" s="7"/>
      <c r="AB268" s="7"/>
      <c r="AC268" s="7"/>
      <c r="AD268" s="7" t="s">
        <v>38</v>
      </c>
      <c r="AE268" s="7" t="s">
        <v>38</v>
      </c>
      <c r="AF268" s="7"/>
      <c r="AG268" s="7" t="s">
        <v>38</v>
      </c>
      <c r="AH268" s="43" t="s">
        <v>269</v>
      </c>
      <c r="AI268" s="43" t="s">
        <v>47</v>
      </c>
      <c r="AJ268" s="43" t="s">
        <v>75</v>
      </c>
      <c r="AK268" s="8"/>
    </row>
    <row r="269" spans="1:37" x14ac:dyDescent="0.2">
      <c r="A269" s="12">
        <f t="shared" si="5"/>
        <v>267</v>
      </c>
      <c r="B269" s="8"/>
      <c r="C269" s="8"/>
      <c r="D269" s="9"/>
      <c r="E269" s="8"/>
      <c r="F269" s="8"/>
      <c r="G269" s="9"/>
      <c r="H269" s="8"/>
      <c r="I269" s="10" t="s">
        <v>37</v>
      </c>
      <c r="J269" s="7"/>
      <c r="K269" s="7"/>
      <c r="L269" s="7"/>
      <c r="M269" s="7" t="s">
        <v>38</v>
      </c>
      <c r="N269" s="7" t="s">
        <v>38</v>
      </c>
      <c r="O269" s="7" t="s">
        <v>38</v>
      </c>
      <c r="P269" s="7" t="s">
        <v>38</v>
      </c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 t="s">
        <v>38</v>
      </c>
      <c r="AE269" s="7"/>
      <c r="AF269" s="7"/>
      <c r="AG269" s="7"/>
      <c r="AH269" s="43" t="s">
        <v>269</v>
      </c>
      <c r="AI269" s="43" t="s">
        <v>56</v>
      </c>
      <c r="AJ269" s="43" t="s">
        <v>82</v>
      </c>
      <c r="AK269" s="8"/>
    </row>
    <row r="270" spans="1:37" x14ac:dyDescent="0.2">
      <c r="A270" s="12">
        <f t="shared" si="5"/>
        <v>268</v>
      </c>
      <c r="B270" s="8"/>
      <c r="C270" s="8"/>
      <c r="D270" s="9"/>
      <c r="E270" s="8"/>
      <c r="F270" s="8"/>
      <c r="G270" s="9"/>
      <c r="H270" s="8"/>
      <c r="I270" s="10" t="s">
        <v>50</v>
      </c>
      <c r="J270" s="7" t="s">
        <v>38</v>
      </c>
      <c r="K270" s="7" t="s">
        <v>38</v>
      </c>
      <c r="L270" s="7" t="s">
        <v>38</v>
      </c>
      <c r="M270" s="7" t="s">
        <v>38</v>
      </c>
      <c r="N270" s="7" t="s">
        <v>38</v>
      </c>
      <c r="O270" s="7" t="s">
        <v>38</v>
      </c>
      <c r="P270" s="7" t="s">
        <v>38</v>
      </c>
      <c r="Q270" s="7"/>
      <c r="R270" s="7"/>
      <c r="S270" s="7"/>
      <c r="T270" s="7"/>
      <c r="U270" s="7"/>
      <c r="V270" s="7"/>
      <c r="W270" s="7"/>
      <c r="X270" s="7"/>
      <c r="Y270" s="7" t="s">
        <v>38</v>
      </c>
      <c r="Z270" s="7" t="s">
        <v>38</v>
      </c>
      <c r="AA270" s="7" t="s">
        <v>38</v>
      </c>
      <c r="AB270" s="7"/>
      <c r="AC270" s="7"/>
      <c r="AD270" s="7" t="s">
        <v>38</v>
      </c>
      <c r="AE270" s="7" t="s">
        <v>38</v>
      </c>
      <c r="AF270" s="7" t="s">
        <v>38</v>
      </c>
      <c r="AG270" s="7" t="s">
        <v>38</v>
      </c>
      <c r="AH270" s="43" t="s">
        <v>269</v>
      </c>
      <c r="AI270" s="43" t="s">
        <v>47</v>
      </c>
      <c r="AJ270" s="43" t="s">
        <v>470</v>
      </c>
      <c r="AK270" s="8"/>
    </row>
    <row r="271" spans="1:37" x14ac:dyDescent="0.2">
      <c r="A271" s="12">
        <f t="shared" si="5"/>
        <v>269</v>
      </c>
      <c r="B271" s="8"/>
      <c r="C271" s="8"/>
      <c r="D271" s="9"/>
      <c r="E271" s="8"/>
      <c r="F271" s="8"/>
      <c r="G271" s="9"/>
      <c r="H271" s="8"/>
      <c r="I271" s="10" t="s">
        <v>114</v>
      </c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 t="s">
        <v>38</v>
      </c>
      <c r="Y271" s="7" t="s">
        <v>38</v>
      </c>
      <c r="Z271" s="7"/>
      <c r="AA271" s="7" t="s">
        <v>38</v>
      </c>
      <c r="AB271" s="7"/>
      <c r="AC271" s="7"/>
      <c r="AD271" s="7" t="s">
        <v>38</v>
      </c>
      <c r="AE271" s="7"/>
      <c r="AF271" s="7"/>
      <c r="AG271" s="7" t="s">
        <v>38</v>
      </c>
      <c r="AH271" s="43" t="s">
        <v>469</v>
      </c>
      <c r="AI271" s="43" t="s">
        <v>47</v>
      </c>
      <c r="AJ271" s="43" t="s">
        <v>224</v>
      </c>
      <c r="AK271" s="8"/>
    </row>
    <row r="272" spans="1:37" x14ac:dyDescent="0.2">
      <c r="A272" s="12">
        <f t="shared" si="5"/>
        <v>270</v>
      </c>
      <c r="B272" s="8"/>
      <c r="C272" s="8"/>
      <c r="D272" s="9"/>
      <c r="E272" s="8"/>
      <c r="F272" s="8"/>
      <c r="G272" s="9"/>
      <c r="H272" s="8"/>
      <c r="I272" s="10" t="s">
        <v>50</v>
      </c>
      <c r="J272" s="7" t="s">
        <v>38</v>
      </c>
      <c r="K272" s="7" t="s">
        <v>38</v>
      </c>
      <c r="L272" s="7" t="s">
        <v>38</v>
      </c>
      <c r="M272" s="7" t="s">
        <v>38</v>
      </c>
      <c r="N272" s="7" t="s">
        <v>38</v>
      </c>
      <c r="O272" s="7" t="s">
        <v>38</v>
      </c>
      <c r="P272" s="7" t="s">
        <v>38</v>
      </c>
      <c r="Q272" s="7"/>
      <c r="R272" s="7"/>
      <c r="S272" s="7"/>
      <c r="T272" s="7"/>
      <c r="U272" s="7"/>
      <c r="V272" s="7"/>
      <c r="W272" s="7"/>
      <c r="X272" s="7"/>
      <c r="Y272" s="7" t="s">
        <v>38</v>
      </c>
      <c r="Z272" s="7" t="s">
        <v>38</v>
      </c>
      <c r="AA272" s="7" t="s">
        <v>38</v>
      </c>
      <c r="AB272" s="7"/>
      <c r="AC272" s="7"/>
      <c r="AD272" s="7" t="s">
        <v>38</v>
      </c>
      <c r="AE272" s="7" t="s">
        <v>38</v>
      </c>
      <c r="AF272" s="7" t="s">
        <v>38</v>
      </c>
      <c r="AG272" s="7" t="s">
        <v>38</v>
      </c>
      <c r="AH272" s="43" t="s">
        <v>269</v>
      </c>
      <c r="AI272" s="43" t="s">
        <v>47</v>
      </c>
      <c r="AJ272" s="43" t="s">
        <v>82</v>
      </c>
      <c r="AK272" s="8"/>
    </row>
    <row r="273" spans="1:37" x14ac:dyDescent="0.2">
      <c r="A273" s="12">
        <f t="shared" si="5"/>
        <v>271</v>
      </c>
      <c r="B273" s="8"/>
      <c r="C273" s="8"/>
      <c r="D273" s="9"/>
      <c r="E273" s="8"/>
      <c r="F273" s="8"/>
      <c r="G273" s="9"/>
      <c r="H273" s="8"/>
      <c r="I273" s="10" t="s">
        <v>50</v>
      </c>
      <c r="J273" s="7" t="s">
        <v>38</v>
      </c>
      <c r="K273" s="7" t="s">
        <v>38</v>
      </c>
      <c r="L273" s="7"/>
      <c r="M273" s="7" t="s">
        <v>38</v>
      </c>
      <c r="N273" s="7" t="s">
        <v>38</v>
      </c>
      <c r="O273" s="7"/>
      <c r="P273" s="7" t="s">
        <v>38</v>
      </c>
      <c r="Q273" s="7"/>
      <c r="R273" s="7"/>
      <c r="S273" s="7"/>
      <c r="T273" s="7"/>
      <c r="U273" s="7"/>
      <c r="V273" s="7"/>
      <c r="W273" s="7"/>
      <c r="X273" s="7"/>
      <c r="Y273" s="7" t="s">
        <v>38</v>
      </c>
      <c r="Z273" s="7"/>
      <c r="AA273" s="7" t="s">
        <v>38</v>
      </c>
      <c r="AB273" s="7"/>
      <c r="AC273" s="7"/>
      <c r="AD273" s="7" t="s">
        <v>38</v>
      </c>
      <c r="AE273" s="7" t="s">
        <v>38</v>
      </c>
      <c r="AF273" s="7" t="s">
        <v>38</v>
      </c>
      <c r="AG273" s="7" t="s">
        <v>38</v>
      </c>
      <c r="AH273" s="43" t="s">
        <v>269</v>
      </c>
      <c r="AI273" s="43" t="s">
        <v>471</v>
      </c>
      <c r="AJ273" s="43" t="s">
        <v>472</v>
      </c>
      <c r="AK273" s="8"/>
    </row>
    <row r="274" spans="1:37" x14ac:dyDescent="0.2">
      <c r="A274" s="12">
        <f t="shared" si="5"/>
        <v>272</v>
      </c>
      <c r="B274" s="8"/>
      <c r="C274" s="8"/>
      <c r="D274" s="9"/>
      <c r="E274" s="8"/>
      <c r="F274" s="8"/>
      <c r="G274" s="9"/>
      <c r="H274" s="8"/>
      <c r="I274" s="10" t="s">
        <v>50</v>
      </c>
      <c r="J274" s="7" t="s">
        <v>38</v>
      </c>
      <c r="K274" s="7" t="s">
        <v>38</v>
      </c>
      <c r="L274" s="7" t="s">
        <v>38</v>
      </c>
      <c r="M274" s="7" t="s">
        <v>38</v>
      </c>
      <c r="N274" s="7" t="s">
        <v>38</v>
      </c>
      <c r="O274" s="7" t="s">
        <v>38</v>
      </c>
      <c r="P274" s="7" t="s">
        <v>38</v>
      </c>
      <c r="Q274" s="7"/>
      <c r="R274" s="7"/>
      <c r="S274" s="7"/>
      <c r="T274" s="7"/>
      <c r="U274" s="7"/>
      <c r="V274" s="7"/>
      <c r="W274" s="7"/>
      <c r="X274" s="7"/>
      <c r="Y274" s="7" t="s">
        <v>38</v>
      </c>
      <c r="Z274" s="7" t="s">
        <v>38</v>
      </c>
      <c r="AA274" s="7" t="s">
        <v>38</v>
      </c>
      <c r="AB274" s="7"/>
      <c r="AC274" s="7"/>
      <c r="AD274" s="7" t="s">
        <v>38</v>
      </c>
      <c r="AE274" s="7" t="s">
        <v>38</v>
      </c>
      <c r="AF274" s="7" t="s">
        <v>38</v>
      </c>
      <c r="AG274" s="7" t="s">
        <v>38</v>
      </c>
      <c r="AH274" s="43" t="s">
        <v>269</v>
      </c>
      <c r="AI274" s="43" t="s">
        <v>47</v>
      </c>
      <c r="AJ274" s="43" t="s">
        <v>82</v>
      </c>
      <c r="AK274" s="8"/>
    </row>
    <row r="275" spans="1:37" x14ac:dyDescent="0.2">
      <c r="A275" s="12">
        <f t="shared" si="5"/>
        <v>273</v>
      </c>
      <c r="B275" s="8"/>
      <c r="C275" s="8"/>
      <c r="D275" s="9"/>
      <c r="E275" s="8"/>
      <c r="F275" s="8"/>
      <c r="G275" s="9"/>
      <c r="H275" s="8"/>
      <c r="I275" s="10" t="s">
        <v>50</v>
      </c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 t="s">
        <v>38</v>
      </c>
      <c r="AA275" s="7" t="s">
        <v>38</v>
      </c>
      <c r="AB275" s="7"/>
      <c r="AC275" s="7"/>
      <c r="AD275" s="7"/>
      <c r="AE275" s="7"/>
      <c r="AF275" s="7"/>
      <c r="AG275" s="7"/>
      <c r="AH275" s="43" t="s">
        <v>269</v>
      </c>
      <c r="AI275" s="43" t="s">
        <v>47</v>
      </c>
      <c r="AJ275" s="43" t="s">
        <v>82</v>
      </c>
      <c r="AK275" s="8"/>
    </row>
    <row r="276" spans="1:37" x14ac:dyDescent="0.2">
      <c r="A276" s="12">
        <f t="shared" si="5"/>
        <v>274</v>
      </c>
      <c r="B276" s="8"/>
      <c r="C276" s="8"/>
      <c r="D276" s="9"/>
      <c r="E276" s="8"/>
      <c r="F276" s="8"/>
      <c r="G276" s="9"/>
      <c r="H276" s="8"/>
      <c r="I276" s="10" t="s">
        <v>50</v>
      </c>
      <c r="J276" s="7" t="s">
        <v>38</v>
      </c>
      <c r="K276" s="7" t="s">
        <v>38</v>
      </c>
      <c r="L276" s="7" t="s">
        <v>38</v>
      </c>
      <c r="M276" s="7" t="s">
        <v>38</v>
      </c>
      <c r="N276" s="7" t="s">
        <v>38</v>
      </c>
      <c r="O276" s="7" t="s">
        <v>38</v>
      </c>
      <c r="P276" s="7" t="s">
        <v>38</v>
      </c>
      <c r="Q276" s="7"/>
      <c r="R276" s="7"/>
      <c r="S276" s="7"/>
      <c r="T276" s="7"/>
      <c r="U276" s="7"/>
      <c r="V276" s="7"/>
      <c r="W276" s="7"/>
      <c r="X276" s="7" t="s">
        <v>38</v>
      </c>
      <c r="Y276" s="7"/>
      <c r="Z276" s="7" t="s">
        <v>38</v>
      </c>
      <c r="AA276" s="7" t="s">
        <v>38</v>
      </c>
      <c r="AB276" s="7"/>
      <c r="AC276" s="7"/>
      <c r="AD276" s="7" t="s">
        <v>38</v>
      </c>
      <c r="AE276" s="7" t="s">
        <v>38</v>
      </c>
      <c r="AF276" s="7" t="s">
        <v>38</v>
      </c>
      <c r="AG276" s="7" t="s">
        <v>38</v>
      </c>
      <c r="AH276" s="43" t="s">
        <v>269</v>
      </c>
      <c r="AI276" s="43" t="s">
        <v>56</v>
      </c>
      <c r="AJ276" s="43" t="s">
        <v>82</v>
      </c>
      <c r="AK276" s="8"/>
    </row>
    <row r="277" spans="1:37" x14ac:dyDescent="0.2">
      <c r="A277" s="12">
        <f t="shared" si="5"/>
        <v>275</v>
      </c>
      <c r="B277" s="8"/>
      <c r="C277" s="8"/>
      <c r="D277" s="9"/>
      <c r="E277" s="8"/>
      <c r="F277" s="8"/>
      <c r="G277" s="9"/>
      <c r="H277" s="8"/>
      <c r="I277" s="10" t="s">
        <v>114</v>
      </c>
      <c r="J277" s="7" t="s">
        <v>38</v>
      </c>
      <c r="K277" s="7" t="s">
        <v>38</v>
      </c>
      <c r="L277" s="7" t="s">
        <v>38</v>
      </c>
      <c r="M277" s="7" t="s">
        <v>38</v>
      </c>
      <c r="N277" s="7" t="s">
        <v>38</v>
      </c>
      <c r="O277" s="7" t="s">
        <v>38</v>
      </c>
      <c r="P277" s="7" t="s">
        <v>38</v>
      </c>
      <c r="Q277" s="7"/>
      <c r="R277" s="7"/>
      <c r="S277" s="7"/>
      <c r="T277" s="7"/>
      <c r="U277" s="7"/>
      <c r="V277" s="7"/>
      <c r="W277" s="7"/>
      <c r="X277" s="7"/>
      <c r="Y277" s="7" t="s">
        <v>38</v>
      </c>
      <c r="Z277" s="7" t="s">
        <v>38</v>
      </c>
      <c r="AA277" s="7" t="s">
        <v>38</v>
      </c>
      <c r="AB277" s="7"/>
      <c r="AC277" s="7"/>
      <c r="AD277" s="7" t="s">
        <v>38</v>
      </c>
      <c r="AE277" s="7" t="s">
        <v>38</v>
      </c>
      <c r="AF277" s="7" t="s">
        <v>38</v>
      </c>
      <c r="AG277" s="7" t="s">
        <v>38</v>
      </c>
      <c r="AH277" s="43" t="s">
        <v>269</v>
      </c>
      <c r="AI277" s="43" t="s">
        <v>47</v>
      </c>
      <c r="AJ277" s="43" t="s">
        <v>82</v>
      </c>
      <c r="AK277" s="8"/>
    </row>
    <row r="278" spans="1:37" x14ac:dyDescent="0.2">
      <c r="A278" s="12">
        <f t="shared" si="5"/>
        <v>276</v>
      </c>
      <c r="B278" s="8"/>
      <c r="C278" s="8"/>
      <c r="D278" s="9"/>
      <c r="E278" s="11"/>
      <c r="F278" s="11"/>
      <c r="G278" s="19"/>
      <c r="H278" s="8"/>
      <c r="I278" s="10" t="s">
        <v>114</v>
      </c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 t="s">
        <v>38</v>
      </c>
      <c r="Y278" s="7" t="s">
        <v>38</v>
      </c>
      <c r="Z278" s="7"/>
      <c r="AA278" s="7" t="s">
        <v>38</v>
      </c>
      <c r="AB278" s="7"/>
      <c r="AC278" s="7"/>
      <c r="AD278" s="7" t="s">
        <v>38</v>
      </c>
      <c r="AE278" s="7"/>
      <c r="AF278" s="7"/>
      <c r="AG278" s="7" t="s">
        <v>38</v>
      </c>
      <c r="AH278" s="43" t="s">
        <v>269</v>
      </c>
      <c r="AI278" s="43" t="s">
        <v>56</v>
      </c>
      <c r="AJ278" s="43" t="s">
        <v>470</v>
      </c>
      <c r="AK278" s="8"/>
    </row>
    <row r="279" spans="1:37" x14ac:dyDescent="0.2">
      <c r="A279" s="12">
        <f t="shared" si="5"/>
        <v>277</v>
      </c>
      <c r="B279" s="8"/>
      <c r="C279" s="8"/>
      <c r="D279" s="9"/>
      <c r="E279" s="8"/>
      <c r="F279" s="8"/>
      <c r="G279" s="9"/>
      <c r="H279" s="8"/>
      <c r="I279" s="10" t="s">
        <v>50</v>
      </c>
      <c r="J279" s="7" t="s">
        <v>38</v>
      </c>
      <c r="K279" s="7" t="s">
        <v>38</v>
      </c>
      <c r="L279" s="7" t="s">
        <v>38</v>
      </c>
      <c r="M279" s="7" t="s">
        <v>38</v>
      </c>
      <c r="N279" s="7" t="s">
        <v>38</v>
      </c>
      <c r="O279" s="7"/>
      <c r="P279" s="7" t="s">
        <v>38</v>
      </c>
      <c r="Q279" s="7"/>
      <c r="R279" s="7"/>
      <c r="S279" s="7"/>
      <c r="T279" s="7"/>
      <c r="U279" s="7"/>
      <c r="V279" s="7"/>
      <c r="W279" s="7"/>
      <c r="X279" s="7"/>
      <c r="Y279" s="7" t="s">
        <v>38</v>
      </c>
      <c r="Z279" s="7" t="s">
        <v>38</v>
      </c>
      <c r="AA279" s="7" t="s">
        <v>38</v>
      </c>
      <c r="AB279" s="7"/>
      <c r="AC279" s="7"/>
      <c r="AD279" s="7" t="s">
        <v>38</v>
      </c>
      <c r="AE279" s="7" t="s">
        <v>38</v>
      </c>
      <c r="AF279" s="7" t="s">
        <v>38</v>
      </c>
      <c r="AG279" s="7" t="s">
        <v>38</v>
      </c>
      <c r="AH279" s="43" t="s">
        <v>269</v>
      </c>
      <c r="AI279" s="43" t="s">
        <v>47</v>
      </c>
      <c r="AJ279" s="43" t="s">
        <v>66</v>
      </c>
      <c r="AK279" s="8"/>
    </row>
    <row r="280" spans="1:37" x14ac:dyDescent="0.2">
      <c r="A280" s="12">
        <f t="shared" si="5"/>
        <v>278</v>
      </c>
      <c r="B280" s="8"/>
      <c r="C280" s="8"/>
      <c r="D280" s="9"/>
      <c r="E280" s="8"/>
      <c r="F280" s="8"/>
      <c r="G280" s="9"/>
      <c r="H280" s="8"/>
      <c r="I280" s="10" t="s">
        <v>50</v>
      </c>
      <c r="J280" s="7" t="s">
        <v>38</v>
      </c>
      <c r="K280" s="7" t="s">
        <v>38</v>
      </c>
      <c r="L280" s="7" t="s">
        <v>38</v>
      </c>
      <c r="M280" s="7" t="s">
        <v>38</v>
      </c>
      <c r="N280" s="7" t="s">
        <v>38</v>
      </c>
      <c r="O280" s="7" t="s">
        <v>38</v>
      </c>
      <c r="P280" s="7" t="s">
        <v>38</v>
      </c>
      <c r="Q280" s="7"/>
      <c r="R280" s="7"/>
      <c r="S280" s="7"/>
      <c r="T280" s="7"/>
      <c r="U280" s="7"/>
      <c r="V280" s="7"/>
      <c r="W280" s="7"/>
      <c r="X280" s="7" t="s">
        <v>38</v>
      </c>
      <c r="Y280" s="7"/>
      <c r="Z280" s="7" t="s">
        <v>38</v>
      </c>
      <c r="AA280" s="7" t="s">
        <v>38</v>
      </c>
      <c r="AB280" s="7"/>
      <c r="AC280" s="7"/>
      <c r="AD280" s="7" t="s">
        <v>38</v>
      </c>
      <c r="AE280" s="7" t="s">
        <v>38</v>
      </c>
      <c r="AF280" s="7" t="s">
        <v>38</v>
      </c>
      <c r="AG280" s="7" t="s">
        <v>38</v>
      </c>
      <c r="AH280" s="43" t="s">
        <v>269</v>
      </c>
      <c r="AI280" s="43" t="s">
        <v>56</v>
      </c>
      <c r="AJ280" s="43" t="s">
        <v>82</v>
      </c>
      <c r="AK280" s="8"/>
    </row>
    <row r="281" spans="1:37" x14ac:dyDescent="0.2">
      <c r="A281" s="12">
        <f t="shared" si="5"/>
        <v>279</v>
      </c>
      <c r="B281" s="8"/>
      <c r="C281" s="8"/>
      <c r="D281" s="9"/>
      <c r="E281" s="8"/>
      <c r="F281" s="8"/>
      <c r="G281" s="9"/>
      <c r="H281" s="8"/>
      <c r="I281" s="10" t="s">
        <v>50</v>
      </c>
      <c r="J281" s="7" t="s">
        <v>38</v>
      </c>
      <c r="K281" s="7" t="s">
        <v>38</v>
      </c>
      <c r="L281" s="7" t="s">
        <v>38</v>
      </c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 t="s">
        <v>38</v>
      </c>
      <c r="Z281" s="7"/>
      <c r="AA281" s="7" t="s">
        <v>38</v>
      </c>
      <c r="AB281" s="7"/>
      <c r="AC281" s="7"/>
      <c r="AD281" s="7" t="s">
        <v>38</v>
      </c>
      <c r="AE281" s="7"/>
      <c r="AF281" s="7"/>
      <c r="AG281" s="7" t="s">
        <v>38</v>
      </c>
      <c r="AH281" s="43" t="s">
        <v>269</v>
      </c>
      <c r="AI281" s="43" t="s">
        <v>421</v>
      </c>
      <c r="AJ281" s="43" t="s">
        <v>269</v>
      </c>
      <c r="AK281" s="8"/>
    </row>
    <row r="282" spans="1:37" x14ac:dyDescent="0.2">
      <c r="A282" s="12">
        <f t="shared" si="5"/>
        <v>280</v>
      </c>
      <c r="B282" s="8"/>
      <c r="C282" s="8"/>
      <c r="D282" s="9"/>
      <c r="E282" s="11"/>
      <c r="F282" s="11"/>
      <c r="G282" s="19"/>
      <c r="H282" s="8"/>
      <c r="I282" s="10" t="s">
        <v>112</v>
      </c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 t="s">
        <v>38</v>
      </c>
      <c r="Y282" s="7"/>
      <c r="Z282" s="7" t="s">
        <v>38</v>
      </c>
      <c r="AA282" s="7" t="s">
        <v>38</v>
      </c>
      <c r="AB282" s="7"/>
      <c r="AC282" s="7"/>
      <c r="AD282" s="7"/>
      <c r="AE282" s="7"/>
      <c r="AF282" s="7"/>
      <c r="AG282" s="7"/>
      <c r="AH282" s="43" t="s">
        <v>269</v>
      </c>
      <c r="AI282" s="43" t="s">
        <v>47</v>
      </c>
      <c r="AJ282" s="43" t="s">
        <v>470</v>
      </c>
      <c r="AK282" s="8"/>
    </row>
    <row r="283" spans="1:37" ht="17" customHeight="1" x14ac:dyDescent="0.2">
      <c r="A283" s="12">
        <f t="shared" si="5"/>
        <v>281</v>
      </c>
      <c r="B283" s="8"/>
      <c r="C283" s="8"/>
      <c r="D283" s="9"/>
      <c r="E283" s="8"/>
      <c r="F283" s="8"/>
      <c r="G283" s="9"/>
      <c r="H283" s="8"/>
      <c r="I283" s="10" t="s">
        <v>50</v>
      </c>
      <c r="J283" s="7" t="s">
        <v>38</v>
      </c>
      <c r="K283" s="7" t="s">
        <v>38</v>
      </c>
      <c r="L283" s="7" t="s">
        <v>38</v>
      </c>
      <c r="M283" s="7" t="s">
        <v>38</v>
      </c>
      <c r="N283" s="7" t="s">
        <v>38</v>
      </c>
      <c r="O283" s="7" t="s">
        <v>38</v>
      </c>
      <c r="P283" s="7" t="s">
        <v>38</v>
      </c>
      <c r="Q283" s="7"/>
      <c r="R283" s="7"/>
      <c r="S283" s="7"/>
      <c r="T283" s="7"/>
      <c r="U283" s="7"/>
      <c r="V283" s="7"/>
      <c r="W283" s="7"/>
      <c r="X283" s="7"/>
      <c r="Y283" s="7" t="s">
        <v>38</v>
      </c>
      <c r="Z283" s="7" t="s">
        <v>38</v>
      </c>
      <c r="AA283" s="7" t="s">
        <v>38</v>
      </c>
      <c r="AB283" s="7"/>
      <c r="AC283" s="7"/>
      <c r="AD283" s="7" t="s">
        <v>38</v>
      </c>
      <c r="AE283" s="7" t="s">
        <v>38</v>
      </c>
      <c r="AF283" s="7" t="s">
        <v>38</v>
      </c>
      <c r="AG283" s="7" t="s">
        <v>38</v>
      </c>
      <c r="AH283" s="43" t="s">
        <v>269</v>
      </c>
      <c r="AI283" s="43" t="s">
        <v>47</v>
      </c>
      <c r="AJ283" s="43" t="s">
        <v>82</v>
      </c>
      <c r="AK283" s="8"/>
    </row>
    <row r="284" spans="1:37" x14ac:dyDescent="0.2">
      <c r="A284" s="12">
        <f t="shared" si="5"/>
        <v>282</v>
      </c>
      <c r="B284" s="8"/>
      <c r="C284" s="8"/>
      <c r="D284" s="9"/>
      <c r="E284" s="11"/>
      <c r="F284" s="11"/>
      <c r="G284" s="19"/>
      <c r="H284" s="8"/>
      <c r="I284" s="10" t="s">
        <v>114</v>
      </c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 t="s">
        <v>38</v>
      </c>
      <c r="Y284" s="7" t="s">
        <v>38</v>
      </c>
      <c r="Z284" s="7"/>
      <c r="AA284" s="7" t="s">
        <v>38</v>
      </c>
      <c r="AB284" s="7"/>
      <c r="AC284" s="7"/>
      <c r="AD284" s="7" t="s">
        <v>38</v>
      </c>
      <c r="AE284" s="7"/>
      <c r="AF284" s="7"/>
      <c r="AG284" s="7" t="s">
        <v>38</v>
      </c>
      <c r="AH284" s="43" t="s">
        <v>473</v>
      </c>
      <c r="AI284" s="43" t="s">
        <v>47</v>
      </c>
      <c r="AJ284" s="43" t="s">
        <v>115</v>
      </c>
      <c r="AK284" s="8"/>
    </row>
    <row r="285" spans="1:37" x14ac:dyDescent="0.2">
      <c r="A285" s="12">
        <f t="shared" si="5"/>
        <v>283</v>
      </c>
      <c r="B285" s="8"/>
      <c r="C285" s="8"/>
      <c r="D285" s="9"/>
      <c r="E285" s="8"/>
      <c r="F285" s="8"/>
      <c r="G285" s="9"/>
      <c r="H285" s="8"/>
      <c r="I285" s="10" t="s">
        <v>50</v>
      </c>
      <c r="J285" s="7" t="s">
        <v>38</v>
      </c>
      <c r="K285" s="7" t="s">
        <v>38</v>
      </c>
      <c r="L285" s="7" t="s">
        <v>38</v>
      </c>
      <c r="M285" s="7" t="s">
        <v>38</v>
      </c>
      <c r="N285" s="7" t="s">
        <v>38</v>
      </c>
      <c r="O285" s="7" t="s">
        <v>38</v>
      </c>
      <c r="P285" s="7" t="s">
        <v>38</v>
      </c>
      <c r="Q285" s="7"/>
      <c r="R285" s="7"/>
      <c r="S285" s="7"/>
      <c r="T285" s="7"/>
      <c r="U285" s="7"/>
      <c r="V285" s="7"/>
      <c r="W285" s="7"/>
      <c r="X285" s="7"/>
      <c r="Y285" s="7" t="s">
        <v>38</v>
      </c>
      <c r="Z285" s="7" t="s">
        <v>38</v>
      </c>
      <c r="AA285" s="7" t="s">
        <v>38</v>
      </c>
      <c r="AB285" s="7"/>
      <c r="AC285" s="7"/>
      <c r="AD285" s="7" t="s">
        <v>38</v>
      </c>
      <c r="AE285" s="7" t="s">
        <v>38</v>
      </c>
      <c r="AF285" s="7" t="s">
        <v>38</v>
      </c>
      <c r="AG285" s="7" t="s">
        <v>38</v>
      </c>
      <c r="AH285" s="43" t="s">
        <v>269</v>
      </c>
      <c r="AI285" s="43" t="s">
        <v>421</v>
      </c>
      <c r="AJ285" s="43" t="s">
        <v>269</v>
      </c>
      <c r="AK285" s="8"/>
    </row>
    <row r="286" spans="1:37" x14ac:dyDescent="0.2">
      <c r="A286" s="12">
        <f t="shared" si="5"/>
        <v>284</v>
      </c>
      <c r="B286" s="8"/>
      <c r="C286" s="8"/>
      <c r="D286" s="9"/>
      <c r="E286" s="8"/>
      <c r="F286" s="8"/>
      <c r="G286" s="9"/>
      <c r="H286" s="8"/>
      <c r="I286" s="10" t="s">
        <v>50</v>
      </c>
      <c r="J286" s="7" t="s">
        <v>38</v>
      </c>
      <c r="K286" s="7" t="s">
        <v>38</v>
      </c>
      <c r="L286" s="7" t="s">
        <v>38</v>
      </c>
      <c r="M286" s="7" t="s">
        <v>38</v>
      </c>
      <c r="N286" s="7" t="s">
        <v>38</v>
      </c>
      <c r="O286" s="7" t="s">
        <v>38</v>
      </c>
      <c r="P286" s="7" t="s">
        <v>38</v>
      </c>
      <c r="Q286" s="7"/>
      <c r="R286" s="7"/>
      <c r="S286" s="7"/>
      <c r="T286" s="7"/>
      <c r="U286" s="7"/>
      <c r="V286" s="7"/>
      <c r="W286" s="7"/>
      <c r="X286" s="7"/>
      <c r="Y286" s="7" t="s">
        <v>38</v>
      </c>
      <c r="Z286" s="7" t="s">
        <v>38</v>
      </c>
      <c r="AA286" s="7" t="s">
        <v>38</v>
      </c>
      <c r="AB286" s="7"/>
      <c r="AC286" s="7"/>
      <c r="AD286" s="7" t="s">
        <v>38</v>
      </c>
      <c r="AE286" s="7" t="s">
        <v>38</v>
      </c>
      <c r="AF286" s="7" t="s">
        <v>38</v>
      </c>
      <c r="AG286" s="7" t="s">
        <v>38</v>
      </c>
      <c r="AH286" s="43" t="s">
        <v>269</v>
      </c>
      <c r="AI286" s="43" t="s">
        <v>47</v>
      </c>
      <c r="AJ286" s="43" t="s">
        <v>470</v>
      </c>
      <c r="AK286" s="8"/>
    </row>
    <row r="287" spans="1:37" x14ac:dyDescent="0.2">
      <c r="A287" s="12">
        <f t="shared" si="5"/>
        <v>285</v>
      </c>
      <c r="B287" s="8"/>
      <c r="C287" s="8"/>
      <c r="D287" s="9"/>
      <c r="E287" s="8"/>
      <c r="F287" s="8"/>
      <c r="G287" s="9"/>
      <c r="H287" s="8"/>
      <c r="I287" s="10" t="s">
        <v>127</v>
      </c>
      <c r="J287" s="7"/>
      <c r="K287" s="7" t="s">
        <v>38</v>
      </c>
      <c r="L287" s="7"/>
      <c r="M287" s="7" t="s">
        <v>38</v>
      </c>
      <c r="N287" s="7" t="s">
        <v>38</v>
      </c>
      <c r="O287" s="7"/>
      <c r="P287" s="7" t="s">
        <v>38</v>
      </c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 t="s">
        <v>38</v>
      </c>
      <c r="AE287" s="7"/>
      <c r="AF287" s="7"/>
      <c r="AG287" s="7" t="s">
        <v>38</v>
      </c>
      <c r="AH287" s="43" t="s">
        <v>474</v>
      </c>
      <c r="AI287" s="43" t="s">
        <v>47</v>
      </c>
      <c r="AJ287" s="43" t="s">
        <v>475</v>
      </c>
      <c r="AK287" s="8"/>
    </row>
    <row r="288" spans="1:37" x14ac:dyDescent="0.2">
      <c r="A288" s="12">
        <f t="shared" si="5"/>
        <v>286</v>
      </c>
      <c r="B288" s="8"/>
      <c r="C288" s="8"/>
      <c r="D288" s="9"/>
      <c r="E288" s="8"/>
      <c r="F288" s="8"/>
      <c r="G288" s="19"/>
      <c r="H288" s="8"/>
      <c r="I288" s="10" t="s">
        <v>50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 t="s">
        <v>38</v>
      </c>
      <c r="AA288" s="7" t="s">
        <v>38</v>
      </c>
      <c r="AB288" s="7"/>
      <c r="AC288" s="7"/>
      <c r="AD288" s="7"/>
      <c r="AE288" s="7"/>
      <c r="AF288" s="7"/>
      <c r="AG288" s="7"/>
      <c r="AH288" s="43" t="s">
        <v>476</v>
      </c>
      <c r="AI288" s="43" t="s">
        <v>56</v>
      </c>
      <c r="AJ288" s="43" t="s">
        <v>476</v>
      </c>
      <c r="AK288" s="8"/>
    </row>
    <row r="289" spans="1:37" x14ac:dyDescent="0.2">
      <c r="A289" s="12">
        <f t="shared" si="5"/>
        <v>287</v>
      </c>
      <c r="B289" s="8"/>
      <c r="C289" s="8"/>
      <c r="D289" s="9"/>
      <c r="E289" s="8"/>
      <c r="F289" s="8"/>
      <c r="G289" s="9"/>
      <c r="H289" s="8"/>
      <c r="I289" s="10" t="s">
        <v>50</v>
      </c>
      <c r="J289" s="7" t="s">
        <v>38</v>
      </c>
      <c r="K289" s="7" t="s">
        <v>38</v>
      </c>
      <c r="L289" s="7" t="s">
        <v>38</v>
      </c>
      <c r="M289" s="7" t="s">
        <v>38</v>
      </c>
      <c r="N289" s="7" t="s">
        <v>38</v>
      </c>
      <c r="O289" s="7" t="s">
        <v>38</v>
      </c>
      <c r="P289" s="7" t="s">
        <v>38</v>
      </c>
      <c r="Q289" s="7"/>
      <c r="R289" s="7"/>
      <c r="S289" s="7"/>
      <c r="T289" s="7"/>
      <c r="U289" s="7"/>
      <c r="V289" s="7"/>
      <c r="W289" s="7"/>
      <c r="X289" s="7"/>
      <c r="Y289" s="7" t="s">
        <v>38</v>
      </c>
      <c r="Z289" s="7" t="s">
        <v>38</v>
      </c>
      <c r="AA289" s="7" t="s">
        <v>38</v>
      </c>
      <c r="AB289" s="7"/>
      <c r="AC289" s="7"/>
      <c r="AD289" s="7" t="s">
        <v>38</v>
      </c>
      <c r="AE289" s="7" t="s">
        <v>38</v>
      </c>
      <c r="AF289" s="7" t="s">
        <v>38</v>
      </c>
      <c r="AG289" s="7" t="s">
        <v>38</v>
      </c>
      <c r="AH289" s="43" t="s">
        <v>269</v>
      </c>
      <c r="AI289" s="43" t="s">
        <v>47</v>
      </c>
      <c r="AJ289" s="43" t="s">
        <v>470</v>
      </c>
      <c r="AK289" s="8"/>
    </row>
    <row r="290" spans="1:37" x14ac:dyDescent="0.2">
      <c r="A290" s="12">
        <f t="shared" si="5"/>
        <v>288</v>
      </c>
      <c r="B290" s="8"/>
      <c r="C290" s="8"/>
      <c r="D290" s="9"/>
      <c r="E290" s="11"/>
      <c r="F290" s="11"/>
      <c r="G290" s="19"/>
      <c r="H290" s="8"/>
      <c r="I290" s="10" t="s">
        <v>141</v>
      </c>
      <c r="J290" s="7"/>
      <c r="K290" s="7" t="s">
        <v>38</v>
      </c>
      <c r="L290" s="7"/>
      <c r="M290" s="7" t="s">
        <v>38</v>
      </c>
      <c r="N290" s="7" t="s">
        <v>38</v>
      </c>
      <c r="O290" s="7"/>
      <c r="P290" s="7" t="s">
        <v>38</v>
      </c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 t="s">
        <v>38</v>
      </c>
      <c r="AE290" s="7"/>
      <c r="AF290" s="7" t="s">
        <v>38</v>
      </c>
      <c r="AG290" s="7"/>
      <c r="AH290" s="43" t="s">
        <v>248</v>
      </c>
      <c r="AI290" s="43" t="s">
        <v>56</v>
      </c>
      <c r="AJ290" s="43" t="s">
        <v>301</v>
      </c>
      <c r="AK290" s="8"/>
    </row>
    <row r="291" spans="1:37" x14ac:dyDescent="0.2">
      <c r="A291" s="12">
        <f t="shared" si="5"/>
        <v>289</v>
      </c>
      <c r="B291" s="8"/>
      <c r="C291" s="8"/>
      <c r="D291" s="9"/>
      <c r="E291" s="11"/>
      <c r="F291" s="11"/>
      <c r="G291" s="19"/>
      <c r="H291" s="8"/>
      <c r="I291" s="10" t="s">
        <v>50</v>
      </c>
      <c r="J291" s="7" t="s">
        <v>38</v>
      </c>
      <c r="K291" s="7" t="s">
        <v>38</v>
      </c>
      <c r="L291" s="7" t="s">
        <v>38</v>
      </c>
      <c r="M291" s="7" t="s">
        <v>38</v>
      </c>
      <c r="N291" s="7" t="s">
        <v>38</v>
      </c>
      <c r="O291" s="7" t="s">
        <v>38</v>
      </c>
      <c r="P291" s="7" t="s">
        <v>38</v>
      </c>
      <c r="Q291" s="7"/>
      <c r="R291" s="7"/>
      <c r="S291" s="7"/>
      <c r="T291" s="7"/>
      <c r="U291" s="7"/>
      <c r="V291" s="7"/>
      <c r="W291" s="7"/>
      <c r="X291" s="7"/>
      <c r="Y291" s="7" t="s">
        <v>38</v>
      </c>
      <c r="Z291" s="7" t="s">
        <v>38</v>
      </c>
      <c r="AA291" s="7" t="s">
        <v>38</v>
      </c>
      <c r="AB291" s="7"/>
      <c r="AC291" s="7"/>
      <c r="AD291" s="7" t="s">
        <v>38</v>
      </c>
      <c r="AE291" s="7" t="s">
        <v>38</v>
      </c>
      <c r="AF291" s="7" t="s">
        <v>38</v>
      </c>
      <c r="AG291" s="7" t="s">
        <v>38</v>
      </c>
      <c r="AH291" s="43" t="s">
        <v>269</v>
      </c>
      <c r="AI291" s="43" t="s">
        <v>47</v>
      </c>
      <c r="AJ291" s="43" t="s">
        <v>82</v>
      </c>
      <c r="AK291" s="8"/>
    </row>
    <row r="292" spans="1:37" x14ac:dyDescent="0.2">
      <c r="A292" s="12">
        <f t="shared" si="5"/>
        <v>290</v>
      </c>
      <c r="B292" s="8"/>
      <c r="C292" s="8"/>
      <c r="D292" s="9"/>
      <c r="E292" s="8"/>
      <c r="F292" s="8"/>
      <c r="G292" s="9"/>
      <c r="H292" s="8"/>
      <c r="I292" s="10" t="s">
        <v>50</v>
      </c>
      <c r="J292" s="7" t="s">
        <v>38</v>
      </c>
      <c r="K292" s="7" t="s">
        <v>38</v>
      </c>
      <c r="L292" s="7" t="s">
        <v>38</v>
      </c>
      <c r="M292" s="7" t="s">
        <v>38</v>
      </c>
      <c r="N292" s="7" t="s">
        <v>38</v>
      </c>
      <c r="O292" s="7" t="s">
        <v>38</v>
      </c>
      <c r="P292" s="7" t="s">
        <v>38</v>
      </c>
      <c r="Q292" s="7"/>
      <c r="R292" s="7"/>
      <c r="S292" s="7"/>
      <c r="T292" s="7"/>
      <c r="U292" s="7"/>
      <c r="V292" s="7"/>
      <c r="W292" s="7"/>
      <c r="X292" s="7"/>
      <c r="Y292" s="7" t="s">
        <v>38</v>
      </c>
      <c r="Z292" s="7" t="s">
        <v>38</v>
      </c>
      <c r="AA292" s="7" t="s">
        <v>38</v>
      </c>
      <c r="AB292" s="7"/>
      <c r="AC292" s="7"/>
      <c r="AD292" s="7" t="s">
        <v>38</v>
      </c>
      <c r="AE292" s="7" t="s">
        <v>38</v>
      </c>
      <c r="AF292" s="7" t="s">
        <v>38</v>
      </c>
      <c r="AG292" s="7" t="s">
        <v>38</v>
      </c>
      <c r="AH292" s="43" t="s">
        <v>269</v>
      </c>
      <c r="AI292" s="43" t="s">
        <v>47</v>
      </c>
      <c r="AJ292" s="43" t="s">
        <v>477</v>
      </c>
      <c r="AK292" s="8"/>
    </row>
    <row r="293" spans="1:37" x14ac:dyDescent="0.2">
      <c r="A293" s="12">
        <f t="shared" ref="A293:A321" si="6">1+A292</f>
        <v>291</v>
      </c>
      <c r="B293" s="8"/>
      <c r="C293" s="8"/>
      <c r="D293" s="9"/>
      <c r="E293" s="8"/>
      <c r="F293" s="8"/>
      <c r="G293" s="9"/>
      <c r="H293" s="8"/>
      <c r="I293" s="10" t="s">
        <v>478</v>
      </c>
      <c r="J293" s="7" t="s">
        <v>38</v>
      </c>
      <c r="K293" s="7" t="s">
        <v>38</v>
      </c>
      <c r="L293" s="7" t="s">
        <v>38</v>
      </c>
      <c r="M293" s="7" t="s">
        <v>38</v>
      </c>
      <c r="N293" s="7" t="s">
        <v>38</v>
      </c>
      <c r="O293" s="7" t="s">
        <v>38</v>
      </c>
      <c r="P293" s="7" t="s">
        <v>38</v>
      </c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 t="s">
        <v>38</v>
      </c>
      <c r="AB293" s="7"/>
      <c r="AC293" s="7"/>
      <c r="AD293" s="7" t="s">
        <v>38</v>
      </c>
      <c r="AE293" s="7" t="s">
        <v>38</v>
      </c>
      <c r="AF293" s="7" t="s">
        <v>38</v>
      </c>
      <c r="AG293" s="7" t="s">
        <v>38</v>
      </c>
      <c r="AH293" s="43" t="s">
        <v>269</v>
      </c>
      <c r="AI293" s="43" t="s">
        <v>421</v>
      </c>
      <c r="AJ293" s="43" t="s">
        <v>269</v>
      </c>
      <c r="AK293" s="8"/>
    </row>
    <row r="294" spans="1:37" x14ac:dyDescent="0.2">
      <c r="A294" s="12">
        <f t="shared" si="6"/>
        <v>292</v>
      </c>
      <c r="B294" s="8"/>
      <c r="C294" s="8"/>
      <c r="D294" s="9"/>
      <c r="E294" s="8"/>
      <c r="F294" s="8"/>
      <c r="G294" s="9"/>
      <c r="H294" s="8"/>
      <c r="I294" s="10" t="s">
        <v>50</v>
      </c>
      <c r="J294" s="7" t="s">
        <v>38</v>
      </c>
      <c r="K294" s="7" t="s">
        <v>38</v>
      </c>
      <c r="L294" s="7" t="s">
        <v>38</v>
      </c>
      <c r="M294" s="7" t="s">
        <v>38</v>
      </c>
      <c r="N294" s="7" t="s">
        <v>38</v>
      </c>
      <c r="O294" s="7" t="s">
        <v>38</v>
      </c>
      <c r="P294" s="7" t="s">
        <v>38</v>
      </c>
      <c r="Q294" s="7"/>
      <c r="R294" s="7"/>
      <c r="S294" s="7"/>
      <c r="T294" s="7"/>
      <c r="U294" s="7"/>
      <c r="V294" s="7"/>
      <c r="W294" s="7"/>
      <c r="X294" s="7"/>
      <c r="Y294" s="7" t="s">
        <v>38</v>
      </c>
      <c r="Z294" s="7" t="s">
        <v>38</v>
      </c>
      <c r="AA294" s="7" t="s">
        <v>38</v>
      </c>
      <c r="AB294" s="7"/>
      <c r="AC294" s="7"/>
      <c r="AD294" s="7" t="s">
        <v>38</v>
      </c>
      <c r="AE294" s="7" t="s">
        <v>38</v>
      </c>
      <c r="AF294" s="7" t="s">
        <v>38</v>
      </c>
      <c r="AG294" s="7" t="s">
        <v>38</v>
      </c>
      <c r="AH294" s="43" t="s">
        <v>269</v>
      </c>
      <c r="AI294" s="43" t="s">
        <v>47</v>
      </c>
      <c r="AJ294" s="43" t="s">
        <v>82</v>
      </c>
      <c r="AK294" s="8"/>
    </row>
    <row r="295" spans="1:37" x14ac:dyDescent="0.2">
      <c r="A295" s="12">
        <f t="shared" si="6"/>
        <v>293</v>
      </c>
      <c r="B295" s="8"/>
      <c r="C295" s="8"/>
      <c r="D295" s="9"/>
      <c r="E295" s="8"/>
      <c r="F295" s="8"/>
      <c r="G295" s="9"/>
      <c r="H295" s="8"/>
      <c r="I295" s="10" t="s">
        <v>112</v>
      </c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 t="s">
        <v>38</v>
      </c>
      <c r="U295" s="7"/>
      <c r="V295" s="7"/>
      <c r="W295" s="7"/>
      <c r="X295" s="7"/>
      <c r="Y295" s="7"/>
      <c r="Z295" s="7"/>
      <c r="AA295" s="7"/>
      <c r="AB295" s="7"/>
      <c r="AC295" s="7" t="s">
        <v>479</v>
      </c>
      <c r="AD295" s="7"/>
      <c r="AE295" s="7"/>
      <c r="AF295" s="7"/>
      <c r="AG295" s="7"/>
      <c r="AH295" s="43" t="s">
        <v>480</v>
      </c>
      <c r="AI295" s="43" t="s">
        <v>56</v>
      </c>
      <c r="AJ295" s="43" t="s">
        <v>480</v>
      </c>
      <c r="AK295" s="8"/>
    </row>
    <row r="296" spans="1:37" x14ac:dyDescent="0.2">
      <c r="A296" s="12">
        <f t="shared" si="6"/>
        <v>294</v>
      </c>
      <c r="B296" s="8"/>
      <c r="C296" s="8"/>
      <c r="D296" s="9"/>
      <c r="E296" s="8"/>
      <c r="F296" s="8"/>
      <c r="G296" s="9"/>
      <c r="H296" s="8"/>
      <c r="I296" s="10" t="s">
        <v>141</v>
      </c>
      <c r="J296" s="7"/>
      <c r="K296" s="7" t="s">
        <v>38</v>
      </c>
      <c r="L296" s="7"/>
      <c r="M296" s="7" t="s">
        <v>38</v>
      </c>
      <c r="N296" s="7" t="s">
        <v>38</v>
      </c>
      <c r="O296" s="7" t="s">
        <v>38</v>
      </c>
      <c r="P296" s="7" t="s">
        <v>38</v>
      </c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 t="s">
        <v>38</v>
      </c>
      <c r="AE296" s="7"/>
      <c r="AF296" s="7" t="s">
        <v>38</v>
      </c>
      <c r="AG296" s="7"/>
      <c r="AH296" s="43" t="s">
        <v>62</v>
      </c>
      <c r="AI296" s="43" t="s">
        <v>56</v>
      </c>
      <c r="AJ296" s="43" t="s">
        <v>481</v>
      </c>
      <c r="AK296" s="8"/>
    </row>
    <row r="297" spans="1:37" ht="51" x14ac:dyDescent="0.2">
      <c r="A297" s="12">
        <f t="shared" si="6"/>
        <v>295</v>
      </c>
      <c r="B297" s="8"/>
      <c r="C297" s="8"/>
      <c r="D297" s="9"/>
      <c r="E297" s="8"/>
      <c r="F297" s="8"/>
      <c r="G297" s="9"/>
      <c r="H297" s="8"/>
      <c r="I297" s="10" t="s">
        <v>37</v>
      </c>
      <c r="J297" s="7" t="s">
        <v>38</v>
      </c>
      <c r="K297" s="7" t="s">
        <v>38</v>
      </c>
      <c r="L297" s="7" t="s">
        <v>38</v>
      </c>
      <c r="M297" s="7" t="s">
        <v>38</v>
      </c>
      <c r="N297" s="7" t="s">
        <v>38</v>
      </c>
      <c r="O297" s="7" t="s">
        <v>38</v>
      </c>
      <c r="P297" s="7" t="s">
        <v>38</v>
      </c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21" t="s">
        <v>482</v>
      </c>
      <c r="AD297" s="7" t="s">
        <v>38</v>
      </c>
      <c r="AE297" s="7"/>
      <c r="AF297" s="7" t="s">
        <v>38</v>
      </c>
      <c r="AG297" s="7" t="s">
        <v>38</v>
      </c>
      <c r="AH297" s="43" t="s">
        <v>269</v>
      </c>
      <c r="AI297" s="43" t="s">
        <v>40</v>
      </c>
      <c r="AJ297" s="43" t="s">
        <v>483</v>
      </c>
      <c r="AK297" s="8"/>
    </row>
    <row r="298" spans="1:37" ht="34" x14ac:dyDescent="0.2">
      <c r="A298" s="12">
        <f>1+A297</f>
        <v>296</v>
      </c>
      <c r="B298" s="8"/>
      <c r="C298" s="8"/>
      <c r="D298" s="9"/>
      <c r="E298" s="8"/>
      <c r="F298" s="8"/>
      <c r="G298" s="11"/>
      <c r="H298" s="8"/>
      <c r="I298" s="10" t="s">
        <v>50</v>
      </c>
      <c r="J298" s="7" t="s">
        <v>38</v>
      </c>
      <c r="K298" s="7" t="s">
        <v>38</v>
      </c>
      <c r="L298" s="7"/>
      <c r="M298" s="7" t="s">
        <v>38</v>
      </c>
      <c r="N298" s="7" t="s">
        <v>38</v>
      </c>
      <c r="O298" s="7" t="s">
        <v>38</v>
      </c>
      <c r="P298" s="7" t="s">
        <v>38</v>
      </c>
      <c r="Q298" s="7"/>
      <c r="R298" s="7" t="s">
        <v>38</v>
      </c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21" t="s">
        <v>484</v>
      </c>
      <c r="AD298" s="7" t="s">
        <v>38</v>
      </c>
      <c r="AE298" s="7" t="s">
        <v>38</v>
      </c>
      <c r="AF298" s="7"/>
      <c r="AG298" s="7"/>
      <c r="AH298" s="43" t="s">
        <v>77</v>
      </c>
      <c r="AI298" s="43" t="s">
        <v>40</v>
      </c>
      <c r="AJ298" s="43" t="s">
        <v>82</v>
      </c>
      <c r="AK298" s="8"/>
    </row>
    <row r="299" spans="1:37" x14ac:dyDescent="0.2">
      <c r="A299" s="12">
        <f t="shared" si="6"/>
        <v>297</v>
      </c>
      <c r="B299" s="8"/>
      <c r="C299" s="8"/>
      <c r="D299" s="9"/>
      <c r="E299" s="8"/>
      <c r="F299" s="8"/>
      <c r="G299" s="14"/>
      <c r="H299" s="8"/>
      <c r="I299" s="10" t="s">
        <v>50</v>
      </c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 t="s">
        <v>38</v>
      </c>
      <c r="Z299" s="7"/>
      <c r="AA299" s="7" t="s">
        <v>38</v>
      </c>
      <c r="AB299" s="7"/>
      <c r="AC299" s="7"/>
      <c r="AD299" s="7" t="s">
        <v>38</v>
      </c>
      <c r="AE299" s="7" t="s">
        <v>38</v>
      </c>
      <c r="AF299" s="7" t="s">
        <v>38</v>
      </c>
      <c r="AG299" s="7"/>
      <c r="AH299" s="43" t="s">
        <v>453</v>
      </c>
      <c r="AI299" s="43" t="s">
        <v>56</v>
      </c>
      <c r="AJ299" s="43" t="s">
        <v>66</v>
      </c>
      <c r="AK299" s="8"/>
    </row>
    <row r="300" spans="1:37" x14ac:dyDescent="0.2">
      <c r="A300" s="12">
        <f t="shared" si="6"/>
        <v>298</v>
      </c>
      <c r="B300" s="8"/>
      <c r="C300" s="8"/>
      <c r="D300" s="9"/>
      <c r="E300" s="8"/>
      <c r="F300" s="8"/>
      <c r="G300" s="9"/>
      <c r="H300" s="8"/>
      <c r="I300" s="10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43"/>
      <c r="AI300" s="43"/>
      <c r="AJ300" s="43"/>
      <c r="AK300" s="8"/>
    </row>
    <row r="301" spans="1:37" x14ac:dyDescent="0.2">
      <c r="A301" s="12">
        <f t="shared" si="6"/>
        <v>299</v>
      </c>
      <c r="B301" s="8"/>
      <c r="C301" s="8"/>
      <c r="D301" s="9"/>
      <c r="E301" s="8"/>
      <c r="F301" s="8"/>
      <c r="G301" s="9"/>
      <c r="H301" s="8"/>
      <c r="I301" s="10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43"/>
      <c r="AI301" s="43"/>
      <c r="AJ301" s="43"/>
      <c r="AK301" s="8"/>
    </row>
    <row r="302" spans="1:37" x14ac:dyDescent="0.2">
      <c r="A302" s="12">
        <f t="shared" si="6"/>
        <v>300</v>
      </c>
      <c r="B302" s="8"/>
      <c r="C302" s="8"/>
      <c r="D302" s="9"/>
      <c r="E302" s="8"/>
      <c r="F302" s="8"/>
      <c r="G302" s="9"/>
      <c r="H302" s="8"/>
      <c r="I302" s="10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43"/>
      <c r="AI302" s="43"/>
      <c r="AJ302" s="43"/>
      <c r="AK302" s="8"/>
    </row>
    <row r="303" spans="1:37" x14ac:dyDescent="0.2">
      <c r="A303" s="12">
        <f t="shared" si="6"/>
        <v>301</v>
      </c>
      <c r="B303" s="8"/>
      <c r="C303" s="8"/>
      <c r="D303" s="9"/>
      <c r="E303" s="8"/>
      <c r="F303" s="8"/>
      <c r="G303" s="9"/>
      <c r="H303" s="8"/>
      <c r="I303" s="10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43"/>
      <c r="AI303" s="43"/>
      <c r="AJ303" s="43"/>
      <c r="AK303" s="8"/>
    </row>
    <row r="304" spans="1:37" x14ac:dyDescent="0.2">
      <c r="A304" s="12">
        <f t="shared" si="6"/>
        <v>302</v>
      </c>
      <c r="B304" s="8"/>
      <c r="C304" s="8"/>
      <c r="D304" s="9"/>
      <c r="E304" s="8"/>
      <c r="F304" s="8"/>
      <c r="G304" s="9"/>
      <c r="H304" s="8"/>
      <c r="I304" s="10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43"/>
      <c r="AI304" s="43"/>
      <c r="AJ304" s="43"/>
      <c r="AK304" s="8"/>
    </row>
    <row r="305" spans="1:37" x14ac:dyDescent="0.2">
      <c r="A305" s="12">
        <f t="shared" si="6"/>
        <v>303</v>
      </c>
      <c r="B305" s="8"/>
      <c r="C305" s="8"/>
      <c r="D305" s="9"/>
      <c r="E305" s="8"/>
      <c r="F305" s="8"/>
      <c r="G305" s="9"/>
      <c r="H305" s="8"/>
      <c r="I305" s="10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43"/>
      <c r="AI305" s="43"/>
      <c r="AJ305" s="43"/>
      <c r="AK305" s="8"/>
    </row>
    <row r="306" spans="1:37" x14ac:dyDescent="0.2">
      <c r="A306" s="12">
        <f t="shared" si="6"/>
        <v>304</v>
      </c>
      <c r="B306" s="8"/>
      <c r="C306" s="8"/>
      <c r="D306" s="9"/>
      <c r="E306" s="8"/>
      <c r="F306" s="8"/>
      <c r="G306" s="9"/>
      <c r="H306" s="8"/>
      <c r="I306" s="10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43"/>
      <c r="AI306" s="43"/>
      <c r="AJ306" s="43"/>
      <c r="AK306" s="8"/>
    </row>
    <row r="307" spans="1:37" x14ac:dyDescent="0.2">
      <c r="A307" s="12">
        <f t="shared" si="6"/>
        <v>305</v>
      </c>
      <c r="B307" s="8"/>
      <c r="C307" s="8"/>
      <c r="D307" s="9"/>
      <c r="E307" s="8"/>
      <c r="F307" s="8"/>
      <c r="G307" s="9"/>
      <c r="H307" s="8"/>
      <c r="I307" s="10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43"/>
      <c r="AI307" s="43"/>
      <c r="AJ307" s="43"/>
      <c r="AK307" s="8"/>
    </row>
    <row r="308" spans="1:37" x14ac:dyDescent="0.2">
      <c r="A308" s="12">
        <f t="shared" si="6"/>
        <v>306</v>
      </c>
      <c r="B308" s="8"/>
      <c r="C308" s="8"/>
      <c r="D308" s="9"/>
      <c r="E308" s="8"/>
      <c r="F308" s="8"/>
      <c r="G308" s="9"/>
      <c r="H308" s="8"/>
      <c r="I308" s="10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43"/>
      <c r="AI308" s="43"/>
      <c r="AJ308" s="43"/>
      <c r="AK308" s="8"/>
    </row>
    <row r="309" spans="1:37" x14ac:dyDescent="0.2">
      <c r="A309" s="12">
        <f t="shared" si="6"/>
        <v>307</v>
      </c>
      <c r="B309" s="8"/>
      <c r="C309" s="8"/>
      <c r="D309" s="9"/>
      <c r="E309" s="55"/>
      <c r="F309" s="55"/>
      <c r="G309" s="9"/>
      <c r="H309" s="8"/>
      <c r="I309" s="10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43"/>
      <c r="AI309" s="43"/>
      <c r="AJ309" s="43"/>
      <c r="AK309" s="8"/>
    </row>
    <row r="310" spans="1:37" x14ac:dyDescent="0.2">
      <c r="A310" s="12">
        <f t="shared" si="6"/>
        <v>308</v>
      </c>
      <c r="B310" s="8"/>
      <c r="C310" s="8"/>
      <c r="D310" s="9"/>
      <c r="E310" s="8"/>
      <c r="F310" s="8"/>
      <c r="G310" s="9"/>
      <c r="H310" s="8"/>
      <c r="I310" s="10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43"/>
      <c r="AI310" s="43"/>
      <c r="AJ310" s="43"/>
      <c r="AK310" s="8"/>
    </row>
    <row r="311" spans="1:37" x14ac:dyDescent="0.2">
      <c r="A311" s="12">
        <f t="shared" si="6"/>
        <v>309</v>
      </c>
      <c r="B311" s="8"/>
      <c r="C311" s="8"/>
      <c r="D311" s="9"/>
      <c r="E311" s="8"/>
      <c r="F311" s="8"/>
      <c r="G311" s="9"/>
      <c r="H311" s="8"/>
      <c r="I311" s="10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43"/>
      <c r="AI311" s="43"/>
      <c r="AJ311" s="43"/>
      <c r="AK311" s="8"/>
    </row>
    <row r="312" spans="1:37" x14ac:dyDescent="0.2">
      <c r="A312" s="12">
        <f t="shared" si="6"/>
        <v>310</v>
      </c>
      <c r="B312" s="8"/>
      <c r="C312" s="8"/>
      <c r="D312" s="9"/>
      <c r="E312" s="8"/>
      <c r="F312" s="8"/>
      <c r="G312" s="9"/>
      <c r="H312" s="8"/>
      <c r="I312" s="10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43"/>
      <c r="AI312" s="43"/>
      <c r="AJ312" s="43"/>
      <c r="AK312" s="8"/>
    </row>
    <row r="313" spans="1:37" x14ac:dyDescent="0.2">
      <c r="A313" s="12">
        <f t="shared" si="6"/>
        <v>311</v>
      </c>
      <c r="B313" s="8"/>
      <c r="C313" s="8"/>
      <c r="D313" s="9"/>
      <c r="E313" s="8"/>
      <c r="F313" s="8"/>
      <c r="G313" s="9"/>
      <c r="H313" s="8"/>
      <c r="I313" s="10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43"/>
      <c r="AI313" s="43"/>
      <c r="AJ313" s="43"/>
      <c r="AK313" s="8"/>
    </row>
    <row r="314" spans="1:37" x14ac:dyDescent="0.2">
      <c r="A314" s="12">
        <f t="shared" si="6"/>
        <v>312</v>
      </c>
      <c r="B314" s="8"/>
      <c r="C314" s="8"/>
      <c r="D314" s="9"/>
      <c r="E314" s="8"/>
      <c r="F314" s="8"/>
      <c r="G314" s="9"/>
      <c r="H314" s="8"/>
      <c r="I314" s="10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43"/>
      <c r="AI314" s="43"/>
      <c r="AJ314" s="43"/>
      <c r="AK314" s="8"/>
    </row>
    <row r="315" spans="1:37" x14ac:dyDescent="0.2">
      <c r="A315" s="12">
        <f t="shared" si="6"/>
        <v>313</v>
      </c>
      <c r="B315" s="8"/>
      <c r="C315" s="8"/>
      <c r="D315" s="9"/>
      <c r="E315" s="8"/>
      <c r="F315" s="8"/>
      <c r="G315" s="9"/>
      <c r="H315" s="8"/>
      <c r="I315" s="10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43"/>
      <c r="AI315" s="43"/>
      <c r="AJ315" s="43"/>
      <c r="AK315" s="8"/>
    </row>
    <row r="316" spans="1:37" x14ac:dyDescent="0.2">
      <c r="A316" s="12">
        <f t="shared" si="6"/>
        <v>314</v>
      </c>
      <c r="B316" s="8"/>
      <c r="C316" s="8"/>
      <c r="D316" s="9"/>
      <c r="E316" s="8"/>
      <c r="F316" s="8"/>
      <c r="G316" s="9"/>
      <c r="H316" s="8"/>
      <c r="I316" s="10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43"/>
      <c r="AI316" s="43"/>
      <c r="AJ316" s="43"/>
      <c r="AK316" s="8"/>
    </row>
    <row r="317" spans="1:37" x14ac:dyDescent="0.2">
      <c r="A317" s="12">
        <f t="shared" si="6"/>
        <v>315</v>
      </c>
      <c r="B317" s="8"/>
      <c r="C317" s="8"/>
      <c r="D317" s="9"/>
      <c r="E317" s="8"/>
      <c r="F317" s="8"/>
      <c r="G317" s="9"/>
      <c r="H317" s="8"/>
      <c r="I317" s="10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43"/>
      <c r="AI317" s="43"/>
      <c r="AJ317" s="43"/>
      <c r="AK317" s="8"/>
    </row>
    <row r="318" spans="1:37" x14ac:dyDescent="0.2">
      <c r="A318" s="12">
        <f t="shared" si="6"/>
        <v>316</v>
      </c>
      <c r="B318" s="8"/>
      <c r="C318" s="8"/>
      <c r="D318" s="9"/>
      <c r="E318" s="8"/>
      <c r="F318" s="8"/>
      <c r="G318" s="9"/>
      <c r="H318" s="8"/>
      <c r="I318" s="10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43"/>
      <c r="AI318" s="43"/>
      <c r="AJ318" s="43"/>
      <c r="AK318" s="8"/>
    </row>
    <row r="319" spans="1:37" x14ac:dyDescent="0.2">
      <c r="A319" s="12">
        <f t="shared" si="6"/>
        <v>317</v>
      </c>
      <c r="B319" s="8"/>
      <c r="C319" s="8"/>
      <c r="D319" s="9"/>
      <c r="E319" s="8"/>
      <c r="F319" s="8"/>
      <c r="G319" s="9"/>
      <c r="H319" s="8"/>
      <c r="I319" s="10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43"/>
      <c r="AI319" s="43"/>
      <c r="AJ319" s="43"/>
      <c r="AK319" s="8"/>
    </row>
    <row r="320" spans="1:37" x14ac:dyDescent="0.2">
      <c r="A320" s="12">
        <f t="shared" si="6"/>
        <v>318</v>
      </c>
      <c r="B320" s="8"/>
      <c r="C320" s="8"/>
      <c r="D320" s="9"/>
      <c r="E320" s="8"/>
      <c r="F320" s="8"/>
      <c r="G320" s="9"/>
      <c r="H320" s="8"/>
      <c r="I320" s="10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43"/>
      <c r="AI320" s="43"/>
      <c r="AJ320" s="43"/>
      <c r="AK320" s="8"/>
    </row>
    <row r="321" spans="1:37" x14ac:dyDescent="0.2">
      <c r="A321" s="12">
        <f t="shared" si="6"/>
        <v>319</v>
      </c>
      <c r="B321" s="8"/>
      <c r="C321" s="8"/>
      <c r="D321" s="9"/>
      <c r="E321" s="8"/>
      <c r="F321" s="8"/>
      <c r="G321" s="9"/>
      <c r="H321" s="8"/>
      <c r="I321" s="10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43"/>
      <c r="AI321" s="43"/>
      <c r="AJ321" s="43"/>
      <c r="AK321" s="8"/>
    </row>
  </sheetData>
  <autoFilter ref="A2:AL321" xr:uid="{2FABAAC2-DA5D-904D-8A32-6CB6547020E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CAFD4-5C71-DA4C-8D09-6AE196C90815}">
  <dimension ref="A1:R51"/>
  <sheetViews>
    <sheetView showGridLines="0" tabSelected="1" zoomScale="90" zoomScaleNormal="90" workbookViewId="0">
      <pane xSplit="4" ySplit="1" topLeftCell="E2" activePane="bottomRight" state="frozen"/>
      <selection pane="topRight" activeCell="G1" sqref="G1"/>
      <selection pane="bottomLeft" activeCell="A2" sqref="A2"/>
      <selection pane="bottomRight" activeCell="F32" sqref="F32"/>
    </sheetView>
  </sheetViews>
  <sheetFormatPr baseColWidth="10" defaultColWidth="10.83203125" defaultRowHeight="16" outlineLevelCol="1" x14ac:dyDescent="0.2"/>
  <cols>
    <col min="1" max="1" width="9.1640625" style="1" customWidth="1"/>
    <col min="2" max="2" width="22.5" style="1" customWidth="1" outlineLevel="1" collapsed="1"/>
    <col min="3" max="3" width="20" style="2" bestFit="1" customWidth="1"/>
    <col min="4" max="4" width="34.6640625" style="2" bestFit="1" customWidth="1"/>
    <col min="5" max="5" width="37" style="2" customWidth="1"/>
    <col min="6" max="6" width="25.6640625" style="2" customWidth="1"/>
    <col min="7" max="7" width="34.83203125" style="2" bestFit="1" customWidth="1"/>
    <col min="8" max="8" width="17.83203125" style="1" bestFit="1" customWidth="1"/>
    <col min="9" max="9" width="15.33203125" style="2" customWidth="1"/>
    <col min="10" max="10" width="15.6640625" style="2" customWidth="1" outlineLevel="1"/>
    <col min="11" max="11" width="20.5" style="76" customWidth="1"/>
    <col min="12" max="12" width="24" style="76" bestFit="1" customWidth="1"/>
    <col min="13" max="13" width="20" style="2" bestFit="1" customWidth="1"/>
    <col min="14" max="16" width="20.33203125" style="2" bestFit="1" customWidth="1"/>
    <col min="17" max="17" width="21.6640625" style="2" bestFit="1" customWidth="1"/>
    <col min="18" max="18" width="19.5" style="2" bestFit="1" customWidth="1"/>
  </cols>
  <sheetData>
    <row r="1" spans="1:18" ht="39" customHeight="1" x14ac:dyDescent="0.2">
      <c r="A1" s="56" t="s">
        <v>0</v>
      </c>
      <c r="B1" s="56" t="s">
        <v>485</v>
      </c>
      <c r="C1" s="56" t="s">
        <v>486</v>
      </c>
      <c r="D1" s="56" t="s">
        <v>487</v>
      </c>
      <c r="E1" s="56" t="s">
        <v>562</v>
      </c>
      <c r="F1" s="56" t="s">
        <v>488</v>
      </c>
      <c r="G1" s="56" t="s">
        <v>489</v>
      </c>
      <c r="H1" s="56" t="s">
        <v>490</v>
      </c>
      <c r="I1" s="56" t="s">
        <v>492</v>
      </c>
      <c r="J1" s="56" t="s">
        <v>493</v>
      </c>
      <c r="K1" s="57" t="s">
        <v>494</v>
      </c>
      <c r="L1" s="57" t="s">
        <v>495</v>
      </c>
      <c r="M1" s="56" t="s">
        <v>496</v>
      </c>
      <c r="N1" s="58" t="s">
        <v>497</v>
      </c>
      <c r="O1" s="58" t="s">
        <v>498</v>
      </c>
      <c r="P1" s="58" t="s">
        <v>499</v>
      </c>
      <c r="Q1" s="58" t="s">
        <v>500</v>
      </c>
      <c r="R1" s="58" t="s">
        <v>4</v>
      </c>
    </row>
    <row r="2" spans="1:18" s="63" customFormat="1" x14ac:dyDescent="0.2">
      <c r="A2" s="59" t="e">
        <f>1+#REF!</f>
        <v>#REF!</v>
      </c>
      <c r="B2" s="59"/>
      <c r="C2" s="59" t="s">
        <v>501</v>
      </c>
      <c r="D2" s="64"/>
      <c r="E2" s="59" t="s">
        <v>510</v>
      </c>
      <c r="F2" s="59" t="s">
        <v>511</v>
      </c>
      <c r="G2" s="59" t="s">
        <v>512</v>
      </c>
      <c r="H2" s="60">
        <f>VLOOKUP(G2,[1]Fields!$A$2:$C$9,3,0)</f>
        <v>1</v>
      </c>
      <c r="I2" s="59" t="s">
        <v>513</v>
      </c>
      <c r="J2" s="59"/>
      <c r="K2" s="62">
        <v>70000000</v>
      </c>
      <c r="L2" s="62">
        <v>50000</v>
      </c>
      <c r="M2" s="59" t="s">
        <v>506</v>
      </c>
      <c r="N2" s="59" t="s">
        <v>46</v>
      </c>
      <c r="O2" s="59" t="s">
        <v>507</v>
      </c>
      <c r="P2" s="59"/>
      <c r="Q2" s="59"/>
      <c r="R2" s="59"/>
    </row>
    <row r="3" spans="1:18" s="63" customFormat="1" x14ac:dyDescent="0.2">
      <c r="A3" s="59" t="e">
        <f>1+#REF!</f>
        <v>#REF!</v>
      </c>
      <c r="B3" s="59" t="s">
        <v>509</v>
      </c>
      <c r="C3" s="59" t="s">
        <v>501</v>
      </c>
      <c r="D3" s="59"/>
      <c r="E3" s="59" t="s">
        <v>510</v>
      </c>
      <c r="F3" s="59" t="s">
        <v>11</v>
      </c>
      <c r="G3" s="59" t="s">
        <v>512</v>
      </c>
      <c r="H3" s="60">
        <f>VLOOKUP(G3,[1]Fields!$A$2:$C$9,3,0)</f>
        <v>1</v>
      </c>
      <c r="I3" s="59" t="s">
        <v>505</v>
      </c>
      <c r="J3" s="59" t="s">
        <v>514</v>
      </c>
      <c r="K3" s="62"/>
      <c r="L3" s="62">
        <v>37500</v>
      </c>
      <c r="M3" s="59" t="s">
        <v>506</v>
      </c>
      <c r="N3" s="59" t="s">
        <v>515</v>
      </c>
      <c r="O3" s="59"/>
      <c r="P3" s="59"/>
      <c r="Q3" s="59"/>
      <c r="R3" s="59"/>
    </row>
    <row r="4" spans="1:18" s="63" customFormat="1" x14ac:dyDescent="0.2">
      <c r="A4" s="59" t="e">
        <f>1+#REF!</f>
        <v>#REF!</v>
      </c>
      <c r="B4" s="59"/>
      <c r="C4" s="59" t="s">
        <v>520</v>
      </c>
      <c r="D4" s="59"/>
      <c r="E4" s="59" t="s">
        <v>510</v>
      </c>
      <c r="F4" s="59" t="s">
        <v>521</v>
      </c>
      <c r="G4" s="59" t="s">
        <v>522</v>
      </c>
      <c r="H4" s="60">
        <f>VLOOKUP(G4,[1]Fields!$A$2:$C$9,3,0)</f>
        <v>0.6</v>
      </c>
      <c r="I4" s="59" t="s">
        <v>505</v>
      </c>
      <c r="J4" s="59" t="s">
        <v>514</v>
      </c>
      <c r="K4" s="62">
        <v>150000000</v>
      </c>
      <c r="L4" s="62">
        <f>+K4*0.75%</f>
        <v>1125000</v>
      </c>
      <c r="M4" s="59" t="s">
        <v>506</v>
      </c>
      <c r="N4" s="59" t="s">
        <v>523</v>
      </c>
      <c r="O4" s="59" t="s">
        <v>524</v>
      </c>
      <c r="P4" s="59"/>
      <c r="Q4" s="59"/>
      <c r="R4" s="59"/>
    </row>
    <row r="5" spans="1:18" s="63" customFormat="1" x14ac:dyDescent="0.2">
      <c r="A5" s="59" t="e">
        <f>1+A4</f>
        <v>#REF!</v>
      </c>
      <c r="B5" s="59" t="s">
        <v>509</v>
      </c>
      <c r="C5" s="59" t="s">
        <v>520</v>
      </c>
      <c r="D5" s="59"/>
      <c r="E5" s="59" t="s">
        <v>510</v>
      </c>
      <c r="F5" s="59" t="s">
        <v>13</v>
      </c>
      <c r="G5" s="59" t="s">
        <v>522</v>
      </c>
      <c r="H5" s="60">
        <f>VLOOKUP(G5,[1]Fields!$A$2:$C$9,3,0)</f>
        <v>0.6</v>
      </c>
      <c r="I5" s="59" t="s">
        <v>505</v>
      </c>
      <c r="J5" s="59" t="s">
        <v>96</v>
      </c>
      <c r="K5" s="62">
        <v>2000000</v>
      </c>
      <c r="L5" s="62">
        <f>+K5*1%</f>
        <v>20000</v>
      </c>
      <c r="M5" s="59" t="s">
        <v>506</v>
      </c>
      <c r="N5" s="59" t="s">
        <v>515</v>
      </c>
      <c r="O5" s="59" t="s">
        <v>507</v>
      </c>
      <c r="P5" s="59"/>
      <c r="Q5" s="59"/>
      <c r="R5" s="59"/>
    </row>
    <row r="6" spans="1:18" s="63" customFormat="1" x14ac:dyDescent="0.2">
      <c r="A6" s="59" t="e">
        <f>1+A4</f>
        <v>#REF!</v>
      </c>
      <c r="B6" s="59" t="s">
        <v>509</v>
      </c>
      <c r="C6" s="59" t="s">
        <v>519</v>
      </c>
      <c r="D6" s="59"/>
      <c r="E6" s="59" t="s">
        <v>510</v>
      </c>
      <c r="F6" s="59" t="s">
        <v>525</v>
      </c>
      <c r="G6" s="59" t="s">
        <v>522</v>
      </c>
      <c r="H6" s="60">
        <f>VLOOKUP(G6,[1]Fields!$A$2:$C$9,3,0)</f>
        <v>0.6</v>
      </c>
      <c r="I6" s="59" t="s">
        <v>505</v>
      </c>
      <c r="J6" s="59"/>
      <c r="K6" s="62">
        <v>50000000</v>
      </c>
      <c r="L6" s="62">
        <f>+K6*0.75%</f>
        <v>375000</v>
      </c>
      <c r="M6" s="59" t="s">
        <v>518</v>
      </c>
      <c r="N6" s="59" t="s">
        <v>204</v>
      </c>
      <c r="O6" s="59"/>
      <c r="P6" s="59"/>
      <c r="Q6" s="59"/>
      <c r="R6" s="59"/>
    </row>
    <row r="7" spans="1:18" s="63" customFormat="1" x14ac:dyDescent="0.2">
      <c r="A7" s="59"/>
      <c r="B7" s="59"/>
      <c r="C7" s="59" t="s">
        <v>527</v>
      </c>
      <c r="D7" s="59"/>
      <c r="E7" s="59" t="s">
        <v>510</v>
      </c>
      <c r="F7" s="59" t="s">
        <v>530</v>
      </c>
      <c r="G7" s="59" t="s">
        <v>528</v>
      </c>
      <c r="H7" s="60">
        <f>VLOOKUP(G7,[1]Fields!$A$2:$C$9,3,0)</f>
        <v>0.15</v>
      </c>
      <c r="I7" s="59"/>
      <c r="J7" s="59"/>
      <c r="K7" s="62">
        <v>200000000</v>
      </c>
      <c r="L7" s="62">
        <f>1%*K7</f>
        <v>2000000</v>
      </c>
      <c r="M7" s="59"/>
      <c r="N7" s="59"/>
      <c r="O7" s="59"/>
      <c r="P7" s="59"/>
      <c r="Q7" s="59"/>
      <c r="R7" s="59"/>
    </row>
    <row r="8" spans="1:18" s="63" customFormat="1" x14ac:dyDescent="0.2">
      <c r="A8" s="59"/>
      <c r="B8" s="59"/>
      <c r="C8" s="59" t="s">
        <v>527</v>
      </c>
      <c r="D8" s="59"/>
      <c r="E8" s="59" t="s">
        <v>510</v>
      </c>
      <c r="F8" s="59" t="s">
        <v>10</v>
      </c>
      <c r="G8" s="59" t="s">
        <v>528</v>
      </c>
      <c r="H8" s="60">
        <f>VLOOKUP(G8,[1]Fields!$A$2:$C$9,3,0)</f>
        <v>0.15</v>
      </c>
      <c r="I8" s="59"/>
      <c r="J8" s="59"/>
      <c r="K8" s="62">
        <v>5000000</v>
      </c>
      <c r="L8" s="62">
        <f>2%*K8</f>
        <v>100000</v>
      </c>
      <c r="M8" s="59"/>
      <c r="N8" s="59" t="s">
        <v>529</v>
      </c>
      <c r="O8" s="59"/>
      <c r="P8" s="59"/>
      <c r="Q8" s="59"/>
      <c r="R8" s="59"/>
    </row>
    <row r="9" spans="1:18" s="63" customFormat="1" x14ac:dyDescent="0.2">
      <c r="A9" s="59" t="e">
        <f>1+#REF!</f>
        <v>#REF!</v>
      </c>
      <c r="B9" s="59" t="s">
        <v>509</v>
      </c>
      <c r="C9" s="59" t="s">
        <v>519</v>
      </c>
      <c r="D9" s="59"/>
      <c r="E9" s="59" t="s">
        <v>510</v>
      </c>
      <c r="F9" s="59" t="s">
        <v>11</v>
      </c>
      <c r="G9" s="59" t="s">
        <v>526</v>
      </c>
      <c r="H9" s="60">
        <f>VLOOKUP(G9,[1]Fields!$A$2:$C$9,3,0)</f>
        <v>0.5</v>
      </c>
      <c r="I9" s="59" t="s">
        <v>505</v>
      </c>
      <c r="J9" s="59" t="s">
        <v>514</v>
      </c>
      <c r="K9" s="62">
        <v>21000000</v>
      </c>
      <c r="L9" s="62"/>
      <c r="M9" s="59" t="s">
        <v>506</v>
      </c>
      <c r="N9" s="59" t="s">
        <v>515</v>
      </c>
      <c r="O9" s="59"/>
      <c r="P9" s="59"/>
      <c r="Q9" s="59"/>
      <c r="R9" s="59"/>
    </row>
    <row r="10" spans="1:18" s="68" customFormat="1" x14ac:dyDescent="0.2">
      <c r="A10" s="64" t="e">
        <f>1+A9</f>
        <v>#REF!</v>
      </c>
      <c r="B10" s="59" t="s">
        <v>509</v>
      </c>
      <c r="C10" s="64"/>
      <c r="D10" s="64"/>
      <c r="E10" s="59" t="s">
        <v>510</v>
      </c>
      <c r="F10" s="59" t="s">
        <v>11</v>
      </c>
      <c r="G10" s="64" t="s">
        <v>526</v>
      </c>
      <c r="H10" s="66">
        <f>VLOOKUP(G10,[1]Fields!$A$2:$C$9,3,0)</f>
        <v>0.5</v>
      </c>
      <c r="I10" s="59" t="s">
        <v>505</v>
      </c>
      <c r="J10" s="59" t="s">
        <v>514</v>
      </c>
      <c r="K10" s="67">
        <v>20000000</v>
      </c>
      <c r="L10" s="67"/>
      <c r="M10" s="64" t="s">
        <v>506</v>
      </c>
      <c r="N10" s="64" t="s">
        <v>515</v>
      </c>
      <c r="O10" s="64"/>
      <c r="P10" s="64"/>
      <c r="Q10" s="64"/>
      <c r="R10" s="64"/>
    </row>
    <row r="11" spans="1:18" s="63" customFormat="1" x14ac:dyDescent="0.2">
      <c r="A11" s="59" t="e">
        <f>1+#REF!</f>
        <v>#REF!</v>
      </c>
      <c r="B11" s="64"/>
      <c r="C11" s="59" t="s">
        <v>527</v>
      </c>
      <c r="D11" s="59"/>
      <c r="E11" s="59" t="s">
        <v>510</v>
      </c>
      <c r="F11" s="59" t="s">
        <v>530</v>
      </c>
      <c r="G11" s="59" t="s">
        <v>531</v>
      </c>
      <c r="H11" s="60">
        <f>VLOOKUP(G11,[1]Fields!$A$2:$C$9,3,0)</f>
        <v>0.4</v>
      </c>
      <c r="I11" s="59" t="s">
        <v>505</v>
      </c>
      <c r="J11" s="59"/>
      <c r="K11" s="62">
        <v>10500000</v>
      </c>
      <c r="L11" s="62">
        <f>2.5%*K11</f>
        <v>262500</v>
      </c>
      <c r="M11" s="59"/>
      <c r="N11" s="59"/>
      <c r="O11" s="59"/>
      <c r="P11" s="59"/>
      <c r="Q11" s="59"/>
      <c r="R11" s="59"/>
    </row>
    <row r="12" spans="1:18" s="63" customFormat="1" ht="72" customHeight="1" x14ac:dyDescent="0.2">
      <c r="A12" s="59" t="e">
        <f>1+A11</f>
        <v>#REF!</v>
      </c>
      <c r="B12" s="59"/>
      <c r="C12" s="59" t="s">
        <v>527</v>
      </c>
      <c r="D12" s="59"/>
      <c r="E12" s="59" t="s">
        <v>510</v>
      </c>
      <c r="F12" s="59" t="s">
        <v>9</v>
      </c>
      <c r="G12" s="59" t="s">
        <v>531</v>
      </c>
      <c r="H12" s="60">
        <f>VLOOKUP(G12,[1]Fields!$A$2:$C$9,3,0)</f>
        <v>0.4</v>
      </c>
      <c r="I12" s="59" t="s">
        <v>503</v>
      </c>
      <c r="J12" s="59"/>
      <c r="K12" s="62">
        <v>8500000</v>
      </c>
      <c r="L12" s="62"/>
      <c r="M12" s="70"/>
      <c r="N12" s="71"/>
      <c r="O12" s="59"/>
      <c r="P12" s="59"/>
      <c r="Q12" s="59"/>
      <c r="R12" s="59"/>
    </row>
    <row r="13" spans="1:18" s="63" customFormat="1" x14ac:dyDescent="0.2">
      <c r="A13" s="59"/>
      <c r="B13" s="59"/>
      <c r="C13" s="59" t="s">
        <v>527</v>
      </c>
      <c r="D13" s="59"/>
      <c r="E13" s="59" t="s">
        <v>510</v>
      </c>
      <c r="F13" s="59" t="s">
        <v>16</v>
      </c>
      <c r="G13" s="59" t="s">
        <v>526</v>
      </c>
      <c r="H13" s="60">
        <v>0.35</v>
      </c>
      <c r="I13" s="59"/>
      <c r="J13" s="59"/>
      <c r="K13" s="62">
        <v>10000000</v>
      </c>
      <c r="L13" s="62">
        <f>K13*0.5%</f>
        <v>50000</v>
      </c>
      <c r="M13" s="70"/>
      <c r="N13" s="71"/>
      <c r="O13" s="59"/>
      <c r="P13" s="59"/>
      <c r="Q13" s="59"/>
      <c r="R13" s="59"/>
    </row>
    <row r="14" spans="1:18" s="63" customFormat="1" ht="72" customHeight="1" x14ac:dyDescent="0.2">
      <c r="A14" s="59">
        <f>1+A13</f>
        <v>1</v>
      </c>
      <c r="B14" s="59"/>
      <c r="C14" s="59" t="s">
        <v>520</v>
      </c>
      <c r="D14" s="59"/>
      <c r="E14" s="59" t="s">
        <v>510</v>
      </c>
      <c r="F14" s="59" t="s">
        <v>11</v>
      </c>
      <c r="G14" s="59" t="s">
        <v>531</v>
      </c>
      <c r="H14" s="60">
        <f>VLOOKUP(G14,[1]Fields!$A$2:$C$9,3,0)</f>
        <v>0.4</v>
      </c>
      <c r="I14" s="59" t="s">
        <v>508</v>
      </c>
      <c r="J14" s="59"/>
      <c r="K14" s="62">
        <v>71000000</v>
      </c>
      <c r="L14" s="62">
        <v>390500</v>
      </c>
      <c r="M14" s="70" t="s">
        <v>506</v>
      </c>
      <c r="N14" s="71" t="s">
        <v>46</v>
      </c>
      <c r="O14" s="59" t="s">
        <v>507</v>
      </c>
      <c r="P14" s="59"/>
      <c r="Q14" s="59"/>
      <c r="R14" s="59"/>
    </row>
    <row r="15" spans="1:18" s="63" customFormat="1" ht="72" customHeight="1" x14ac:dyDescent="0.2">
      <c r="A15" s="59">
        <f>1+A14</f>
        <v>2</v>
      </c>
      <c r="B15" s="59"/>
      <c r="C15" s="59" t="s">
        <v>520</v>
      </c>
      <c r="D15" s="59"/>
      <c r="E15" s="59" t="s">
        <v>510</v>
      </c>
      <c r="F15" s="59" t="s">
        <v>10</v>
      </c>
      <c r="G15" s="59" t="s">
        <v>531</v>
      </c>
      <c r="H15" s="60">
        <f>VLOOKUP(G15,[1]Fields!$A$2:$C$9,3,0)</f>
        <v>0.4</v>
      </c>
      <c r="I15" s="59" t="s">
        <v>505</v>
      </c>
      <c r="J15" s="59"/>
      <c r="K15" s="62"/>
      <c r="L15" s="62"/>
      <c r="M15" s="70"/>
      <c r="N15" s="71" t="s">
        <v>46</v>
      </c>
      <c r="O15" s="59" t="s">
        <v>533</v>
      </c>
      <c r="P15" s="59" t="s">
        <v>532</v>
      </c>
      <c r="Q15" s="59" t="s">
        <v>534</v>
      </c>
      <c r="R15" s="59" t="s">
        <v>535</v>
      </c>
    </row>
    <row r="16" spans="1:18" s="63" customFormat="1" ht="69" customHeight="1" x14ac:dyDescent="0.2">
      <c r="A16" s="59">
        <f>1+A15</f>
        <v>3</v>
      </c>
      <c r="B16" s="59"/>
      <c r="C16" s="59" t="s">
        <v>520</v>
      </c>
      <c r="D16" s="59"/>
      <c r="E16" s="59" t="s">
        <v>510</v>
      </c>
      <c r="F16" s="59" t="s">
        <v>15</v>
      </c>
      <c r="G16" s="59" t="s">
        <v>531</v>
      </c>
      <c r="H16" s="60">
        <f>VLOOKUP(G16,[1]Fields!$A$2:$C$9,3,0)</f>
        <v>0.4</v>
      </c>
      <c r="I16" s="59" t="s">
        <v>508</v>
      </c>
      <c r="J16" s="59"/>
      <c r="K16" s="62">
        <v>40000000</v>
      </c>
      <c r="L16" s="62">
        <f>K16*1.5%</f>
        <v>600000</v>
      </c>
      <c r="M16" s="70" t="s">
        <v>536</v>
      </c>
      <c r="N16" s="71"/>
      <c r="O16" s="59"/>
      <c r="P16" s="59"/>
      <c r="Q16" s="59"/>
      <c r="R16" s="59"/>
    </row>
    <row r="17" spans="1:18" s="63" customFormat="1" x14ac:dyDescent="0.2">
      <c r="A17" s="59">
        <f>1+A16</f>
        <v>4</v>
      </c>
      <c r="B17" s="59"/>
      <c r="C17" s="59" t="s">
        <v>520</v>
      </c>
      <c r="D17" s="59"/>
      <c r="E17" s="59" t="s">
        <v>510</v>
      </c>
      <c r="F17" s="59" t="s">
        <v>16</v>
      </c>
      <c r="G17" s="59" t="s">
        <v>531</v>
      </c>
      <c r="H17" s="60">
        <f>VLOOKUP(G17,[1]Fields!$A$2:$C$9,3,0)</f>
        <v>0.4</v>
      </c>
      <c r="I17" s="59" t="s">
        <v>505</v>
      </c>
      <c r="J17" s="59"/>
      <c r="K17" s="62">
        <v>2000000</v>
      </c>
      <c r="L17" s="62">
        <f>K17*1.5%</f>
        <v>30000</v>
      </c>
      <c r="M17" s="59" t="s">
        <v>506</v>
      </c>
      <c r="N17" s="59"/>
      <c r="O17" s="59"/>
      <c r="P17" s="59"/>
      <c r="Q17" s="59"/>
      <c r="R17" s="59"/>
    </row>
    <row r="18" spans="1:18" s="63" customFormat="1" x14ac:dyDescent="0.2">
      <c r="A18" s="59"/>
      <c r="B18" s="59"/>
      <c r="C18" s="59" t="s">
        <v>520</v>
      </c>
      <c r="D18" s="59"/>
      <c r="E18" s="59" t="s">
        <v>510</v>
      </c>
      <c r="F18" s="59" t="s">
        <v>12</v>
      </c>
      <c r="G18" s="59" t="s">
        <v>531</v>
      </c>
      <c r="H18" s="60">
        <f>VLOOKUP(G18,[1]Fields!$A$2:$C$9,3,0)</f>
        <v>0.4</v>
      </c>
      <c r="I18" s="59" t="s">
        <v>508</v>
      </c>
      <c r="J18" s="59"/>
      <c r="K18" s="62"/>
      <c r="L18" s="62"/>
      <c r="M18" s="59"/>
      <c r="N18" s="59"/>
      <c r="O18" s="59"/>
      <c r="P18" s="59"/>
      <c r="Q18" s="59"/>
      <c r="R18" s="59"/>
    </row>
    <row r="19" spans="1:18" s="63" customFormat="1" x14ac:dyDescent="0.2">
      <c r="A19" s="59" t="e">
        <f>1+#REF!</f>
        <v>#REF!</v>
      </c>
      <c r="B19" s="59"/>
      <c r="C19" s="59" t="s">
        <v>519</v>
      </c>
      <c r="D19" s="59"/>
      <c r="E19" s="59" t="s">
        <v>510</v>
      </c>
      <c r="F19" s="64" t="s">
        <v>560</v>
      </c>
      <c r="G19" s="59" t="s">
        <v>537</v>
      </c>
      <c r="H19" s="60">
        <f>VLOOKUP(G19,[1]Fields!$A$2:$C$9,3,0)</f>
        <v>0.25</v>
      </c>
      <c r="I19" s="59" t="s">
        <v>505</v>
      </c>
      <c r="J19" s="59"/>
      <c r="K19" s="62">
        <v>60000000</v>
      </c>
      <c r="L19" s="62">
        <f>+K19*0.35%</f>
        <v>209999.99999999997</v>
      </c>
      <c r="M19" s="59" t="s">
        <v>538</v>
      </c>
      <c r="N19" s="59" t="s">
        <v>46</v>
      </c>
      <c r="O19" s="59" t="s">
        <v>502</v>
      </c>
      <c r="P19" s="59"/>
      <c r="Q19" s="59"/>
      <c r="R19" s="59"/>
    </row>
    <row r="20" spans="1:18" s="63" customFormat="1" x14ac:dyDescent="0.2">
      <c r="A20" s="59" t="e">
        <f>1+A19</f>
        <v>#REF!</v>
      </c>
      <c r="B20" s="59"/>
      <c r="C20" s="59" t="s">
        <v>527</v>
      </c>
      <c r="D20" s="59"/>
      <c r="E20" s="59" t="s">
        <v>510</v>
      </c>
      <c r="F20" s="59" t="s">
        <v>530</v>
      </c>
      <c r="G20" s="59" t="s">
        <v>537</v>
      </c>
      <c r="H20" s="60">
        <f>VLOOKUP(G20,[1]Fields!$A$2:$C$9,3,0)</f>
        <v>0.25</v>
      </c>
      <c r="I20" s="59" t="s">
        <v>508</v>
      </c>
      <c r="J20" s="59"/>
      <c r="K20" s="62">
        <v>20000000</v>
      </c>
      <c r="L20" s="62">
        <f>K20*1.25%</f>
        <v>250000</v>
      </c>
      <c r="M20" s="59"/>
      <c r="N20" s="59"/>
      <c r="O20" s="59"/>
      <c r="P20" s="59"/>
      <c r="Q20" s="59"/>
      <c r="R20" s="59"/>
    </row>
    <row r="21" spans="1:18" s="63" customFormat="1" x14ac:dyDescent="0.2">
      <c r="A21" s="64" t="e">
        <f>1+#REF!</f>
        <v>#REF!</v>
      </c>
      <c r="B21" s="59"/>
      <c r="C21" s="64" t="s">
        <v>527</v>
      </c>
      <c r="D21" s="64"/>
      <c r="E21" s="59" t="s">
        <v>510</v>
      </c>
      <c r="F21" s="59" t="s">
        <v>540</v>
      </c>
      <c r="G21" s="64" t="s">
        <v>539</v>
      </c>
      <c r="H21" s="66">
        <f>VLOOKUP(G21,[1]Fields!A37:C45,3,0)</f>
        <v>0.2</v>
      </c>
      <c r="I21" s="59" t="s">
        <v>505</v>
      </c>
      <c r="J21" s="59"/>
      <c r="K21" s="67">
        <v>120000000</v>
      </c>
      <c r="L21" s="67">
        <v>1000000</v>
      </c>
      <c r="M21" s="64" t="s">
        <v>518</v>
      </c>
      <c r="N21" s="64"/>
      <c r="O21" s="64"/>
      <c r="P21" s="64"/>
      <c r="Q21" s="64"/>
      <c r="R21" s="64"/>
    </row>
    <row r="22" spans="1:18" s="63" customFormat="1" x14ac:dyDescent="0.2">
      <c r="A22" s="59" t="e">
        <f>1+#REF!</f>
        <v>#REF!</v>
      </c>
      <c r="B22" s="59"/>
      <c r="C22" s="59" t="s">
        <v>516</v>
      </c>
      <c r="D22" s="59"/>
      <c r="E22" s="59" t="s">
        <v>510</v>
      </c>
      <c r="F22" s="59" t="s">
        <v>13</v>
      </c>
      <c r="G22" s="59" t="s">
        <v>537</v>
      </c>
      <c r="H22" s="60">
        <f>VLOOKUP(G22,[1]Fields!$A$2:$C$9,3,0)</f>
        <v>0.25</v>
      </c>
      <c r="I22" s="59" t="s">
        <v>505</v>
      </c>
      <c r="J22" s="59"/>
      <c r="K22" s="62"/>
      <c r="L22" s="62"/>
      <c r="M22" s="59"/>
      <c r="N22" s="59"/>
      <c r="O22" s="59"/>
      <c r="P22" s="59"/>
      <c r="Q22" s="59"/>
      <c r="R22" s="59"/>
    </row>
    <row r="23" spans="1:18" s="63" customFormat="1" x14ac:dyDescent="0.2">
      <c r="A23" s="59" t="e">
        <f>1+#REF!</f>
        <v>#REF!</v>
      </c>
      <c r="B23" s="59" t="s">
        <v>509</v>
      </c>
      <c r="C23" s="59" t="s">
        <v>520</v>
      </c>
      <c r="D23" s="59"/>
      <c r="E23" s="59" t="s">
        <v>510</v>
      </c>
      <c r="F23" s="59" t="s">
        <v>13</v>
      </c>
      <c r="G23" s="59" t="s">
        <v>537</v>
      </c>
      <c r="H23" s="60">
        <f>VLOOKUP(G23,[1]Fields!$A$2:$C$9,3,0)</f>
        <v>0.25</v>
      </c>
      <c r="I23" s="59" t="s">
        <v>505</v>
      </c>
      <c r="J23" s="59" t="s">
        <v>96</v>
      </c>
      <c r="K23" s="62">
        <v>3500000</v>
      </c>
      <c r="L23" s="62">
        <f>+K23*1%</f>
        <v>35000</v>
      </c>
      <c r="M23" s="59" t="s">
        <v>506</v>
      </c>
      <c r="N23" s="59" t="s">
        <v>515</v>
      </c>
      <c r="O23" s="59"/>
      <c r="P23" s="59"/>
      <c r="Q23" s="59"/>
      <c r="R23" s="59"/>
    </row>
    <row r="24" spans="1:18" s="68" customFormat="1" ht="34" x14ac:dyDescent="0.2">
      <c r="A24" s="59" t="e">
        <f>1+#REF!</f>
        <v>#REF!</v>
      </c>
      <c r="B24" s="59"/>
      <c r="C24" s="59" t="s">
        <v>519</v>
      </c>
      <c r="D24" s="59"/>
      <c r="E24" s="59" t="s">
        <v>510</v>
      </c>
      <c r="F24" s="59" t="s">
        <v>521</v>
      </c>
      <c r="G24" s="59" t="s">
        <v>528</v>
      </c>
      <c r="H24" s="60">
        <f>VLOOKUP(G24,[1]Fields!$A$2:$C$9,3,0)</f>
        <v>0.15</v>
      </c>
      <c r="I24" s="59" t="s">
        <v>505</v>
      </c>
      <c r="J24" s="65" t="s">
        <v>541</v>
      </c>
      <c r="K24" s="62">
        <v>300000000</v>
      </c>
      <c r="L24" s="62"/>
      <c r="M24" s="59" t="s">
        <v>506</v>
      </c>
      <c r="N24" s="59" t="s">
        <v>46</v>
      </c>
      <c r="O24" s="59" t="s">
        <v>542</v>
      </c>
      <c r="P24" s="59"/>
      <c r="Q24" s="59"/>
      <c r="R24" s="59"/>
    </row>
    <row r="25" spans="1:18" s="63" customFormat="1" x14ac:dyDescent="0.2">
      <c r="A25" s="59" t="e">
        <f>1+A24</f>
        <v>#REF!</v>
      </c>
      <c r="B25" s="59"/>
      <c r="C25" s="59" t="s">
        <v>520</v>
      </c>
      <c r="D25" s="59"/>
      <c r="E25" s="59" t="s">
        <v>510</v>
      </c>
      <c r="F25" s="59" t="s">
        <v>521</v>
      </c>
      <c r="G25" s="59" t="s">
        <v>537</v>
      </c>
      <c r="H25" s="60">
        <f>VLOOKUP(G25,[1]Fields!$A$2:$C$9,3,0)</f>
        <v>0.25</v>
      </c>
      <c r="I25" s="59" t="s">
        <v>505</v>
      </c>
      <c r="J25" s="59"/>
      <c r="K25" s="62">
        <v>30000000</v>
      </c>
      <c r="L25" s="62"/>
      <c r="M25" s="59"/>
      <c r="N25" s="59"/>
      <c r="O25" s="59"/>
      <c r="P25" s="59"/>
      <c r="Q25" s="59"/>
      <c r="R25" s="59"/>
    </row>
    <row r="26" spans="1:18" s="63" customFormat="1" x14ac:dyDescent="0.2">
      <c r="A26" s="59" t="e">
        <f>1+A25</f>
        <v>#REF!</v>
      </c>
      <c r="B26" s="59"/>
      <c r="C26" s="59" t="s">
        <v>516</v>
      </c>
      <c r="D26" s="59"/>
      <c r="E26" s="59" t="s">
        <v>510</v>
      </c>
      <c r="F26" s="59" t="s">
        <v>543</v>
      </c>
      <c r="G26" s="59" t="s">
        <v>537</v>
      </c>
      <c r="H26" s="60">
        <f>VLOOKUP(G26,[1]Fields!$A$2:$C$9,3,0)</f>
        <v>0.25</v>
      </c>
      <c r="I26" s="59" t="s">
        <v>505</v>
      </c>
      <c r="J26" s="59"/>
      <c r="K26" s="62">
        <v>20000000</v>
      </c>
      <c r="L26" s="62">
        <v>600000</v>
      </c>
      <c r="M26" s="72">
        <v>46174</v>
      </c>
      <c r="N26" s="59"/>
      <c r="O26" s="59"/>
      <c r="P26" s="59"/>
      <c r="Q26" s="59"/>
      <c r="R26" s="59"/>
    </row>
    <row r="27" spans="1:18" s="63" customFormat="1" x14ac:dyDescent="0.2">
      <c r="A27" s="59" t="e">
        <f>1+A26</f>
        <v>#REF!</v>
      </c>
      <c r="B27" s="59"/>
      <c r="C27" s="59" t="s">
        <v>520</v>
      </c>
      <c r="D27" s="59"/>
      <c r="E27" s="59" t="s">
        <v>510</v>
      </c>
      <c r="F27" s="59" t="s">
        <v>544</v>
      </c>
      <c r="G27" s="59" t="s">
        <v>537</v>
      </c>
      <c r="H27" s="60">
        <f>VLOOKUP(G27,[1]Fields!$A$2:$C$9,3,0)</f>
        <v>0.25</v>
      </c>
      <c r="I27" s="59" t="s">
        <v>508</v>
      </c>
      <c r="J27" s="59"/>
      <c r="K27" s="62"/>
      <c r="L27" s="62"/>
      <c r="M27" s="59"/>
      <c r="N27" s="59"/>
      <c r="O27" s="59"/>
      <c r="P27" s="59"/>
      <c r="Q27" s="59"/>
      <c r="R27" s="59"/>
    </row>
    <row r="28" spans="1:18" s="63" customFormat="1" x14ac:dyDescent="0.2">
      <c r="A28" s="59" t="e">
        <f>1+A27</f>
        <v>#REF!</v>
      </c>
      <c r="B28" s="59" t="s">
        <v>509</v>
      </c>
      <c r="C28" s="59" t="s">
        <v>520</v>
      </c>
      <c r="D28" s="59"/>
      <c r="E28" s="59" t="s">
        <v>510</v>
      </c>
      <c r="F28" s="59" t="s">
        <v>544</v>
      </c>
      <c r="G28" s="59" t="s">
        <v>537</v>
      </c>
      <c r="H28" s="60">
        <f>VLOOKUP(G28,[1]Fields!$A$2:$C$9,3,0)</f>
        <v>0.25</v>
      </c>
      <c r="I28" s="59" t="s">
        <v>505</v>
      </c>
      <c r="J28" s="59"/>
      <c r="K28" s="62">
        <v>15000000</v>
      </c>
      <c r="L28" s="62">
        <f>+K28*0.5%</f>
        <v>75000</v>
      </c>
      <c r="M28" s="59" t="s">
        <v>506</v>
      </c>
      <c r="N28" s="59" t="s">
        <v>204</v>
      </c>
      <c r="O28" s="59"/>
      <c r="P28" s="59"/>
      <c r="Q28" s="59"/>
      <c r="R28" s="59"/>
    </row>
    <row r="29" spans="1:18" s="63" customFormat="1" ht="17" x14ac:dyDescent="0.2">
      <c r="A29" s="59" t="e">
        <f>1+A28</f>
        <v>#REF!</v>
      </c>
      <c r="B29" s="59"/>
      <c r="C29" s="59" t="s">
        <v>516</v>
      </c>
      <c r="D29" s="59"/>
      <c r="E29" s="59" t="s">
        <v>510</v>
      </c>
      <c r="F29" s="59" t="s">
        <v>511</v>
      </c>
      <c r="G29" s="59" t="s">
        <v>537</v>
      </c>
      <c r="H29" s="60">
        <f>VLOOKUP(G29,[1]Fields!$A$2:$C$9,3,0)</f>
        <v>0.25</v>
      </c>
      <c r="I29" s="65" t="s">
        <v>505</v>
      </c>
      <c r="J29" s="62"/>
      <c r="K29" s="62"/>
      <c r="L29" s="69"/>
      <c r="M29" s="65"/>
      <c r="N29" s="59"/>
      <c r="O29" s="59"/>
      <c r="P29" s="59"/>
      <c r="Q29" s="59"/>
      <c r="R29" s="73"/>
    </row>
    <row r="30" spans="1:18" s="63" customFormat="1" x14ac:dyDescent="0.2">
      <c r="A30" s="59" t="e">
        <f>1+A29</f>
        <v>#REF!</v>
      </c>
      <c r="B30" s="59"/>
      <c r="C30" s="59" t="s">
        <v>516</v>
      </c>
      <c r="D30" s="59"/>
      <c r="E30" s="59" t="s">
        <v>510</v>
      </c>
      <c r="F30" s="59" t="s">
        <v>511</v>
      </c>
      <c r="G30" s="59" t="s">
        <v>537</v>
      </c>
      <c r="H30" s="60">
        <f>VLOOKUP(G30,[1]Fields!$A$2:$C$9,3,0)</f>
        <v>0.25</v>
      </c>
      <c r="I30" s="64"/>
      <c r="J30" s="59"/>
      <c r="K30" s="62">
        <v>7500000</v>
      </c>
      <c r="L30" s="62">
        <f>+K30*1%</f>
        <v>75000</v>
      </c>
      <c r="M30" s="59" t="s">
        <v>506</v>
      </c>
      <c r="N30" s="59" t="s">
        <v>515</v>
      </c>
      <c r="O30" s="59"/>
      <c r="P30" s="59"/>
      <c r="Q30" s="59"/>
      <c r="R30" s="59"/>
    </row>
    <row r="31" spans="1:18" s="63" customFormat="1" x14ac:dyDescent="0.2">
      <c r="A31" s="59" t="e">
        <f>1+A30</f>
        <v>#REF!</v>
      </c>
      <c r="B31" s="59" t="s">
        <v>509</v>
      </c>
      <c r="C31" s="59" t="s">
        <v>520</v>
      </c>
      <c r="D31" s="59"/>
      <c r="E31" s="59" t="s">
        <v>510</v>
      </c>
      <c r="F31" s="59" t="s">
        <v>13</v>
      </c>
      <c r="G31" s="59" t="s">
        <v>537</v>
      </c>
      <c r="H31" s="60">
        <f>VLOOKUP(G31,[1]Fields!$A$2:$C$9,3,0)</f>
        <v>0.25</v>
      </c>
      <c r="I31" s="59" t="s">
        <v>505</v>
      </c>
      <c r="J31" s="59" t="s">
        <v>96</v>
      </c>
      <c r="K31" s="62">
        <v>24000000</v>
      </c>
      <c r="L31" s="62">
        <f>K31*0.5%</f>
        <v>120000</v>
      </c>
      <c r="M31" s="59" t="s">
        <v>506</v>
      </c>
      <c r="N31" s="59" t="s">
        <v>515</v>
      </c>
      <c r="O31" s="59"/>
      <c r="P31" s="59"/>
      <c r="Q31" s="59"/>
      <c r="R31" s="59"/>
    </row>
    <row r="32" spans="1:18" s="63" customFormat="1" x14ac:dyDescent="0.2">
      <c r="A32" s="59" t="e">
        <f>1+A31</f>
        <v>#REF!</v>
      </c>
      <c r="B32" s="59" t="s">
        <v>509</v>
      </c>
      <c r="C32" s="59" t="s">
        <v>520</v>
      </c>
      <c r="D32" s="59"/>
      <c r="E32" s="59" t="s">
        <v>510</v>
      </c>
      <c r="F32" s="59" t="s">
        <v>13</v>
      </c>
      <c r="G32" s="59" t="s">
        <v>537</v>
      </c>
      <c r="H32" s="60">
        <f>VLOOKUP(G32,[1]Fields!$A$2:$C$9,3,0)</f>
        <v>0.25</v>
      </c>
      <c r="I32" s="59" t="s">
        <v>505</v>
      </c>
      <c r="J32" s="59" t="s">
        <v>96</v>
      </c>
      <c r="K32" s="62">
        <v>2650000</v>
      </c>
      <c r="L32" s="62">
        <f>+K32*1%</f>
        <v>26500</v>
      </c>
      <c r="M32" s="64"/>
      <c r="N32" s="59" t="s">
        <v>515</v>
      </c>
      <c r="O32" s="59"/>
      <c r="P32" s="59"/>
      <c r="Q32" s="59"/>
      <c r="R32" s="59"/>
    </row>
    <row r="33" spans="1:18" s="63" customFormat="1" x14ac:dyDescent="0.2">
      <c r="A33" s="59"/>
      <c r="B33" s="59"/>
      <c r="C33" s="59" t="s">
        <v>527</v>
      </c>
      <c r="D33" s="59"/>
      <c r="E33" s="59" t="s">
        <v>510</v>
      </c>
      <c r="F33" s="59" t="s">
        <v>511</v>
      </c>
      <c r="G33" s="59" t="s">
        <v>528</v>
      </c>
      <c r="H33" s="60">
        <f>VLOOKUP(G33,[1]Fields!$A$2:$C$9,3,0)</f>
        <v>0.15</v>
      </c>
      <c r="I33" s="59"/>
      <c r="J33" s="59"/>
      <c r="K33" s="62">
        <v>2000000</v>
      </c>
      <c r="L33" s="62">
        <f>1.75%*K33</f>
        <v>35000</v>
      </c>
      <c r="M33" s="59"/>
      <c r="N33" s="59"/>
      <c r="O33" s="59"/>
      <c r="P33" s="59"/>
      <c r="Q33" s="59"/>
      <c r="R33" s="59"/>
    </row>
    <row r="34" spans="1:18" s="63" customFormat="1" x14ac:dyDescent="0.2">
      <c r="A34" s="59" t="e">
        <f>1+#REF!</f>
        <v>#REF!</v>
      </c>
      <c r="B34" s="64"/>
      <c r="C34" s="59" t="s">
        <v>527</v>
      </c>
      <c r="D34" s="59"/>
      <c r="E34" s="59" t="s">
        <v>510</v>
      </c>
      <c r="F34" s="59" t="s">
        <v>16</v>
      </c>
      <c r="G34" s="59" t="s">
        <v>528</v>
      </c>
      <c r="H34" s="60">
        <f>VLOOKUP(G34,[1]Fields!$A$2:$C$9,3,0)</f>
        <v>0.15</v>
      </c>
      <c r="I34" s="59" t="s">
        <v>508</v>
      </c>
      <c r="J34" s="59"/>
      <c r="K34" s="62"/>
      <c r="L34" s="62">
        <f>2%*K34</f>
        <v>0</v>
      </c>
      <c r="M34" s="59"/>
      <c r="N34" s="59"/>
      <c r="O34" s="59"/>
      <c r="P34" s="59"/>
      <c r="Q34" s="59"/>
      <c r="R34" s="59"/>
    </row>
    <row r="35" spans="1:18" s="63" customFormat="1" x14ac:dyDescent="0.2">
      <c r="A35" s="59"/>
      <c r="B35" s="59"/>
      <c r="C35" s="59" t="s">
        <v>527</v>
      </c>
      <c r="D35" s="65"/>
      <c r="E35" s="59" t="s">
        <v>510</v>
      </c>
      <c r="F35" s="59" t="s">
        <v>547</v>
      </c>
      <c r="G35" s="59" t="s">
        <v>517</v>
      </c>
      <c r="H35" s="60">
        <f>VLOOKUP(G35,[1]Fields!$A$2:$C$9,3,0)</f>
        <v>0.1</v>
      </c>
      <c r="I35" s="59"/>
      <c r="J35" s="59"/>
      <c r="K35" s="62"/>
      <c r="L35" s="62"/>
      <c r="M35" s="59"/>
      <c r="N35" s="59"/>
      <c r="O35" s="59"/>
      <c r="P35" s="59"/>
      <c r="Q35" s="59"/>
      <c r="R35" s="59"/>
    </row>
    <row r="36" spans="1:18" s="63" customFormat="1" x14ac:dyDescent="0.2">
      <c r="A36" s="59" t="e">
        <f>1+#REF!</f>
        <v>#REF!</v>
      </c>
      <c r="B36" s="59" t="s">
        <v>545</v>
      </c>
      <c r="C36" s="59" t="s">
        <v>527</v>
      </c>
      <c r="D36" s="59"/>
      <c r="E36" s="59" t="s">
        <v>510</v>
      </c>
      <c r="F36" s="59" t="s">
        <v>10</v>
      </c>
      <c r="G36" s="59" t="s">
        <v>528</v>
      </c>
      <c r="H36" s="60">
        <f>VLOOKUP(G36,[1]Fields!$A$2:$C$9,3,0)</f>
        <v>0.15</v>
      </c>
      <c r="I36" s="59" t="s">
        <v>503</v>
      </c>
      <c r="J36" s="59"/>
      <c r="K36" s="62"/>
      <c r="L36" s="62"/>
      <c r="M36" s="59"/>
      <c r="N36" s="59"/>
      <c r="O36" s="59"/>
      <c r="P36" s="59"/>
      <c r="Q36" s="59"/>
      <c r="R36" s="59"/>
    </row>
    <row r="37" spans="1:18" s="63" customFormat="1" x14ac:dyDescent="0.2">
      <c r="A37" s="59" t="e">
        <f>1+#REF!</f>
        <v>#REF!</v>
      </c>
      <c r="B37" s="59"/>
      <c r="C37" s="59" t="s">
        <v>520</v>
      </c>
      <c r="D37" s="59"/>
      <c r="E37" s="59" t="s">
        <v>510</v>
      </c>
      <c r="F37" s="59" t="s">
        <v>14</v>
      </c>
      <c r="G37" s="59" t="s">
        <v>528</v>
      </c>
      <c r="H37" s="60">
        <f>VLOOKUP(G37,[1]Fields!$A$2:$C$9,3,0)</f>
        <v>0.15</v>
      </c>
      <c r="I37" s="59" t="s">
        <v>508</v>
      </c>
      <c r="J37" s="59"/>
      <c r="K37" s="62"/>
      <c r="L37" s="62"/>
      <c r="M37" s="59"/>
      <c r="N37" s="59"/>
      <c r="O37" s="59"/>
      <c r="P37" s="59"/>
      <c r="Q37" s="59"/>
      <c r="R37" s="59"/>
    </row>
    <row r="38" spans="1:18" s="63" customFormat="1" x14ac:dyDescent="0.2">
      <c r="A38" s="59" t="e">
        <f>1+A37</f>
        <v>#REF!</v>
      </c>
      <c r="B38" s="59"/>
      <c r="C38" s="59" t="s">
        <v>520</v>
      </c>
      <c r="D38" s="59"/>
      <c r="E38" s="59" t="s">
        <v>510</v>
      </c>
      <c r="F38" s="59" t="s">
        <v>511</v>
      </c>
      <c r="G38" s="59" t="s">
        <v>528</v>
      </c>
      <c r="H38" s="60">
        <f>VLOOKUP(G38,[1]Fields!$A$2:$C$9,3,0)</f>
        <v>0.15</v>
      </c>
      <c r="I38" s="59" t="s">
        <v>505</v>
      </c>
      <c r="J38" s="59" t="s">
        <v>36</v>
      </c>
      <c r="K38" s="62">
        <v>2500000</v>
      </c>
      <c r="L38" s="62">
        <f>+K38*2%</f>
        <v>50000</v>
      </c>
      <c r="M38" s="59" t="s">
        <v>504</v>
      </c>
      <c r="N38" s="59" t="s">
        <v>46</v>
      </c>
      <c r="O38" s="59" t="s">
        <v>507</v>
      </c>
      <c r="P38" s="59"/>
      <c r="Q38" s="59"/>
      <c r="R38" s="59"/>
    </row>
    <row r="39" spans="1:18" s="63" customFormat="1" x14ac:dyDescent="0.2">
      <c r="A39" s="59"/>
      <c r="B39" s="59"/>
      <c r="C39" s="59" t="s">
        <v>527</v>
      </c>
      <c r="D39" s="59"/>
      <c r="E39" s="59" t="s">
        <v>510</v>
      </c>
      <c r="F39" s="59" t="s">
        <v>9</v>
      </c>
      <c r="G39" s="59" t="s">
        <v>517</v>
      </c>
      <c r="H39" s="60">
        <f>VLOOKUP(G39,[1]Fields!$A$2:$C$9,3,0)</f>
        <v>0.1</v>
      </c>
      <c r="I39" s="59" t="s">
        <v>505</v>
      </c>
      <c r="J39" s="59"/>
      <c r="K39" s="62"/>
      <c r="L39" s="62"/>
      <c r="M39" s="59"/>
      <c r="N39" s="59"/>
      <c r="O39" s="59"/>
      <c r="P39" s="59"/>
      <c r="Q39" s="59"/>
      <c r="R39" s="59"/>
    </row>
    <row r="40" spans="1:18" s="63" customFormat="1" x14ac:dyDescent="0.2">
      <c r="A40" s="59"/>
      <c r="B40" s="59"/>
      <c r="C40" s="59" t="s">
        <v>520</v>
      </c>
      <c r="D40" s="59"/>
      <c r="E40" s="59" t="s">
        <v>510</v>
      </c>
      <c r="F40" s="59" t="s">
        <v>14</v>
      </c>
      <c r="G40" s="59" t="s">
        <v>528</v>
      </c>
      <c r="H40" s="60">
        <f>VLOOKUP(G40,[1]Fields!$A$2:$C$9,3,0)</f>
        <v>0.15</v>
      </c>
      <c r="I40" s="59" t="s">
        <v>505</v>
      </c>
      <c r="J40" s="59"/>
      <c r="K40" s="62"/>
      <c r="L40" s="62"/>
      <c r="M40" s="59"/>
      <c r="N40" s="59"/>
      <c r="O40" s="59"/>
      <c r="P40" s="59"/>
      <c r="Q40" s="59"/>
      <c r="R40" s="59"/>
    </row>
    <row r="41" spans="1:18" s="63" customFormat="1" x14ac:dyDescent="0.2">
      <c r="A41" s="59"/>
      <c r="B41" s="59" t="s">
        <v>545</v>
      </c>
      <c r="C41" s="59" t="s">
        <v>527</v>
      </c>
      <c r="D41" s="59"/>
      <c r="E41" s="59" t="s">
        <v>510</v>
      </c>
      <c r="F41" s="59" t="s">
        <v>530</v>
      </c>
      <c r="G41" s="59" t="s">
        <v>517</v>
      </c>
      <c r="H41" s="60">
        <f>VLOOKUP(G41,[1]Fields!$A$2:$C$9,3,0)</f>
        <v>0.1</v>
      </c>
      <c r="I41" s="59"/>
      <c r="J41" s="59"/>
      <c r="K41" s="62"/>
      <c r="L41" s="62"/>
      <c r="M41" s="59"/>
      <c r="N41" s="59"/>
      <c r="O41" s="59"/>
      <c r="P41" s="59"/>
      <c r="Q41" s="59"/>
      <c r="R41" s="59"/>
    </row>
    <row r="42" spans="1:18" s="63" customFormat="1" x14ac:dyDescent="0.2">
      <c r="A42" s="59" t="e">
        <f>1+#REF!</f>
        <v>#REF!</v>
      </c>
      <c r="B42" s="59"/>
      <c r="C42" s="59" t="s">
        <v>520</v>
      </c>
      <c r="D42" s="59"/>
      <c r="E42" s="59" t="s">
        <v>510</v>
      </c>
      <c r="F42" s="59" t="s">
        <v>13</v>
      </c>
      <c r="G42" s="59" t="s">
        <v>517</v>
      </c>
      <c r="H42" s="60">
        <f>VLOOKUP(G42,[1]Fields!$A$2:$C$9,3,0)</f>
        <v>0.1</v>
      </c>
      <c r="I42" s="59" t="s">
        <v>505</v>
      </c>
      <c r="J42" s="59"/>
      <c r="K42" s="62"/>
      <c r="L42" s="62"/>
      <c r="M42" s="59"/>
      <c r="N42" s="59"/>
      <c r="O42" s="59"/>
      <c r="P42" s="59"/>
      <c r="Q42" s="59"/>
      <c r="R42" s="59"/>
    </row>
    <row r="43" spans="1:18" s="63" customFormat="1" x14ac:dyDescent="0.2">
      <c r="A43" s="59" t="e">
        <f>1+#REF!</f>
        <v>#REF!</v>
      </c>
      <c r="B43" s="64"/>
      <c r="C43" s="59" t="s">
        <v>527</v>
      </c>
      <c r="D43" s="59"/>
      <c r="E43" s="59" t="s">
        <v>510</v>
      </c>
      <c r="F43" s="59" t="s">
        <v>511</v>
      </c>
      <c r="G43" s="64" t="s">
        <v>517</v>
      </c>
      <c r="H43" s="60">
        <f>VLOOKUP(G43,[1]Fields!$A$2:$C$9,3,0)</f>
        <v>0.1</v>
      </c>
      <c r="I43" s="59" t="s">
        <v>505</v>
      </c>
      <c r="J43" s="59" t="s">
        <v>36</v>
      </c>
      <c r="K43" s="62"/>
      <c r="L43" s="62"/>
      <c r="M43" s="59" t="s">
        <v>506</v>
      </c>
      <c r="N43" s="59" t="s">
        <v>515</v>
      </c>
      <c r="O43" s="59" t="s">
        <v>507</v>
      </c>
      <c r="P43" s="59"/>
      <c r="Q43" s="59"/>
      <c r="R43" s="59"/>
    </row>
    <row r="44" spans="1:18" s="63" customFormat="1" x14ac:dyDescent="0.2">
      <c r="A44" s="59" t="e">
        <f>1+#REF!</f>
        <v>#REF!</v>
      </c>
      <c r="B44" s="59" t="s">
        <v>509</v>
      </c>
      <c r="C44" s="59" t="s">
        <v>527</v>
      </c>
      <c r="D44" s="59"/>
      <c r="E44" s="59" t="s">
        <v>510</v>
      </c>
      <c r="F44" s="59" t="s">
        <v>11</v>
      </c>
      <c r="G44" s="59" t="s">
        <v>517</v>
      </c>
      <c r="H44" s="60">
        <f>VLOOKUP(G44,[1]Fields!$A$2:$C$9,3,0)</f>
        <v>0.1</v>
      </c>
      <c r="I44" s="59" t="s">
        <v>505</v>
      </c>
      <c r="J44" s="59" t="s">
        <v>514</v>
      </c>
      <c r="K44" s="67"/>
      <c r="L44" s="67"/>
      <c r="M44" s="64"/>
      <c r="N44" s="59" t="s">
        <v>515</v>
      </c>
      <c r="O44" s="59"/>
      <c r="P44" s="59"/>
      <c r="Q44" s="59"/>
      <c r="R44" s="59"/>
    </row>
    <row r="45" spans="1:18" s="63" customFormat="1" x14ac:dyDescent="0.2">
      <c r="A45" s="59" t="e">
        <f>1+A44</f>
        <v>#REF!</v>
      </c>
      <c r="B45" s="59"/>
      <c r="C45" s="59" t="s">
        <v>527</v>
      </c>
      <c r="D45" s="59"/>
      <c r="E45" s="59" t="s">
        <v>510</v>
      </c>
      <c r="F45" s="59" t="s">
        <v>543</v>
      </c>
      <c r="G45" s="59" t="s">
        <v>517</v>
      </c>
      <c r="H45" s="60">
        <f>VLOOKUP(G45,[1]Fields!$A$2:$C$9,3,0)</f>
        <v>0.1</v>
      </c>
      <c r="I45" s="59" t="s">
        <v>505</v>
      </c>
      <c r="J45" s="59"/>
      <c r="K45" s="62"/>
      <c r="L45" s="62"/>
      <c r="M45" s="59"/>
      <c r="N45" s="59"/>
      <c r="O45" s="59"/>
      <c r="P45" s="59"/>
      <c r="Q45" s="59"/>
      <c r="R45" s="59"/>
    </row>
    <row r="46" spans="1:18" s="63" customFormat="1" x14ac:dyDescent="0.2">
      <c r="A46" s="59" t="e">
        <f>1+#REF!</f>
        <v>#REF!</v>
      </c>
      <c r="B46" s="59"/>
      <c r="C46" s="59" t="s">
        <v>516</v>
      </c>
      <c r="D46" s="64"/>
      <c r="E46" s="59" t="s">
        <v>510</v>
      </c>
      <c r="F46" s="59" t="s">
        <v>521</v>
      </c>
      <c r="G46" s="59" t="s">
        <v>517</v>
      </c>
      <c r="H46" s="60">
        <f>VLOOKUP(G46,[1]Fields!$A$2:$C$9,3,0)</f>
        <v>0.1</v>
      </c>
      <c r="I46" s="59" t="s">
        <v>505</v>
      </c>
      <c r="J46" s="59"/>
      <c r="K46" s="62">
        <v>5000000</v>
      </c>
      <c r="L46" s="62">
        <f>+K46*1%</f>
        <v>50000</v>
      </c>
      <c r="M46" s="59" t="s">
        <v>506</v>
      </c>
      <c r="N46" s="59" t="s">
        <v>46</v>
      </c>
      <c r="O46" s="59" t="s">
        <v>546</v>
      </c>
      <c r="P46" s="59"/>
      <c r="Q46" s="59"/>
      <c r="R46" s="59"/>
    </row>
    <row r="47" spans="1:18" s="63" customFormat="1" ht="17" x14ac:dyDescent="0.2">
      <c r="A47" s="59" t="e">
        <f>1+#REF!</f>
        <v>#REF!</v>
      </c>
      <c r="B47" s="59"/>
      <c r="C47" s="59" t="s">
        <v>527</v>
      </c>
      <c r="D47" s="59"/>
      <c r="E47" s="59" t="s">
        <v>510</v>
      </c>
      <c r="F47" s="59" t="s">
        <v>547</v>
      </c>
      <c r="G47" s="59" t="s">
        <v>517</v>
      </c>
      <c r="H47" s="60">
        <f>VLOOKUP(G47,[1]Fields!$A$2:$C$9,3,0)</f>
        <v>0.1</v>
      </c>
      <c r="I47" s="65" t="s">
        <v>505</v>
      </c>
      <c r="J47" s="62"/>
      <c r="K47" s="62"/>
      <c r="L47" s="69"/>
      <c r="M47" s="65"/>
      <c r="N47" s="59"/>
      <c r="O47" s="59"/>
      <c r="P47" s="59"/>
      <c r="Q47" s="59"/>
      <c r="R47" s="73"/>
    </row>
    <row r="48" spans="1:18" s="63" customFormat="1" x14ac:dyDescent="0.2">
      <c r="A48" s="59" t="e">
        <f>1+#REF!</f>
        <v>#REF!</v>
      </c>
      <c r="B48" s="59"/>
      <c r="C48" s="59" t="s">
        <v>520</v>
      </c>
      <c r="D48" s="59"/>
      <c r="E48" s="59" t="s">
        <v>510</v>
      </c>
      <c r="F48" s="59" t="s">
        <v>530</v>
      </c>
      <c r="G48" s="61" t="s">
        <v>517</v>
      </c>
      <c r="H48" s="60">
        <f>VLOOKUP(G48,[1]Fields!$A$2:$C$9,3,0)</f>
        <v>0.1</v>
      </c>
      <c r="I48" s="74" t="s">
        <v>505</v>
      </c>
      <c r="J48" s="69"/>
      <c r="K48" s="75">
        <v>1500000</v>
      </c>
      <c r="L48" s="69"/>
      <c r="M48" s="59" t="s">
        <v>548</v>
      </c>
      <c r="N48" s="59"/>
      <c r="O48" s="59"/>
      <c r="P48" s="59"/>
      <c r="Q48" s="59"/>
      <c r="R48" s="59"/>
    </row>
    <row r="50" spans="6:9" x14ac:dyDescent="0.2">
      <c r="I50" s="2" t="s">
        <v>549</v>
      </c>
    </row>
    <row r="51" spans="6:9" x14ac:dyDescent="0.2">
      <c r="F51" s="77"/>
    </row>
  </sheetData>
  <autoFilter ref="A1:R48" xr:uid="{2C89ED36-12EA-294C-B694-0493CE8DE5A3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7C5EA46-DD23-B448-BB94-10795B9D74EE}">
          <x14:formula1>
            <xm:f>Fields!$A$13:$A$32</xm:f>
          </x14:formula1>
          <xm:sqref>F7:F48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CB756-E8C9-A64C-A3B4-B88165BCBF8B}">
  <dimension ref="A1:I32"/>
  <sheetViews>
    <sheetView workbookViewId="0">
      <selection activeCell="A12" sqref="A12:A32"/>
    </sheetView>
  </sheetViews>
  <sheetFormatPr baseColWidth="10" defaultRowHeight="16" x14ac:dyDescent="0.2"/>
  <cols>
    <col min="1" max="1" width="36.5" customWidth="1"/>
    <col min="2" max="2" width="3.1640625" customWidth="1"/>
    <col min="3" max="3" width="34.33203125" customWidth="1"/>
    <col min="4" max="4" width="3.1640625" customWidth="1"/>
    <col min="5" max="5" width="34.33203125" customWidth="1"/>
    <col min="6" max="6" width="3.1640625" customWidth="1"/>
    <col min="7" max="7" width="34.33203125" customWidth="1"/>
    <col min="8" max="8" width="3.1640625" customWidth="1"/>
    <col min="9" max="9" width="34.33203125" customWidth="1"/>
  </cols>
  <sheetData>
    <row r="1" spans="1:9" x14ac:dyDescent="0.2">
      <c r="A1" s="78" t="s">
        <v>510</v>
      </c>
      <c r="B1" s="79"/>
      <c r="C1" s="78" t="s">
        <v>491</v>
      </c>
      <c r="D1" s="79"/>
      <c r="E1" s="78" t="s">
        <v>551</v>
      </c>
      <c r="F1" s="79"/>
      <c r="G1" s="78" t="s">
        <v>486</v>
      </c>
      <c r="H1" s="79"/>
      <c r="I1" s="78" t="s">
        <v>552</v>
      </c>
    </row>
    <row r="2" spans="1:9" ht="17" x14ac:dyDescent="0.2">
      <c r="A2" s="80" t="s">
        <v>517</v>
      </c>
      <c r="B2" s="81"/>
      <c r="C2" s="82">
        <v>0.1</v>
      </c>
      <c r="D2" s="81"/>
      <c r="E2" s="83" t="s">
        <v>505</v>
      </c>
      <c r="F2" s="81"/>
      <c r="G2" s="83" t="s">
        <v>527</v>
      </c>
      <c r="H2" s="81"/>
      <c r="I2" s="83" t="s">
        <v>553</v>
      </c>
    </row>
    <row r="3" spans="1:9" ht="17" x14ac:dyDescent="0.2">
      <c r="A3" s="80" t="s">
        <v>528</v>
      </c>
      <c r="B3" s="81"/>
      <c r="C3" s="82">
        <v>0.15</v>
      </c>
      <c r="D3" s="81"/>
      <c r="E3" s="83" t="s">
        <v>503</v>
      </c>
      <c r="F3" s="81"/>
      <c r="G3" s="83" t="s">
        <v>554</v>
      </c>
      <c r="H3" s="81"/>
      <c r="I3" s="83" t="s">
        <v>555</v>
      </c>
    </row>
    <row r="4" spans="1:9" ht="17" x14ac:dyDescent="0.2">
      <c r="A4" s="80" t="s">
        <v>537</v>
      </c>
      <c r="B4" s="81"/>
      <c r="C4" s="82">
        <v>0.25</v>
      </c>
      <c r="D4" s="81"/>
      <c r="E4" s="83" t="s">
        <v>508</v>
      </c>
      <c r="F4" s="81"/>
      <c r="G4" s="83" t="s">
        <v>516</v>
      </c>
      <c r="H4" s="81"/>
      <c r="I4" s="83" t="s">
        <v>556</v>
      </c>
    </row>
    <row r="5" spans="1:9" ht="17" x14ac:dyDescent="0.2">
      <c r="A5" s="80" t="s">
        <v>531</v>
      </c>
      <c r="B5" s="81"/>
      <c r="C5" s="82">
        <v>0.4</v>
      </c>
      <c r="D5" s="81"/>
      <c r="E5" s="83" t="s">
        <v>513</v>
      </c>
      <c r="F5" s="81"/>
      <c r="G5" s="83" t="s">
        <v>501</v>
      </c>
      <c r="H5" s="81"/>
      <c r="I5" s="83" t="s">
        <v>509</v>
      </c>
    </row>
    <row r="6" spans="1:9" ht="17" x14ac:dyDescent="0.2">
      <c r="A6" s="80" t="s">
        <v>526</v>
      </c>
      <c r="B6" s="81"/>
      <c r="C6" s="82">
        <v>0.5</v>
      </c>
      <c r="D6" s="81"/>
      <c r="F6" s="81"/>
      <c r="G6" s="83" t="s">
        <v>520</v>
      </c>
      <c r="H6" s="81"/>
      <c r="I6" s="83" t="s">
        <v>545</v>
      </c>
    </row>
    <row r="7" spans="1:9" x14ac:dyDescent="0.2">
      <c r="A7" s="80" t="s">
        <v>522</v>
      </c>
      <c r="B7" s="81"/>
      <c r="C7" s="82">
        <v>0.6</v>
      </c>
      <c r="D7" s="81"/>
      <c r="F7" s="81"/>
      <c r="H7" s="81"/>
    </row>
    <row r="8" spans="1:9" x14ac:dyDescent="0.2">
      <c r="A8" s="80" t="s">
        <v>557</v>
      </c>
      <c r="B8" s="81"/>
      <c r="C8" s="82">
        <v>0.85</v>
      </c>
      <c r="D8" s="81"/>
      <c r="F8" s="81"/>
      <c r="H8" s="81"/>
    </row>
    <row r="9" spans="1:9" x14ac:dyDescent="0.2">
      <c r="A9" s="84" t="s">
        <v>512</v>
      </c>
      <c r="C9" s="82">
        <v>1</v>
      </c>
    </row>
    <row r="12" spans="1:9" x14ac:dyDescent="0.2">
      <c r="A12" s="78" t="s">
        <v>558</v>
      </c>
    </row>
    <row r="13" spans="1:9" ht="17" x14ac:dyDescent="0.2">
      <c r="A13" s="83" t="s">
        <v>16</v>
      </c>
    </row>
    <row r="14" spans="1:9" ht="17" x14ac:dyDescent="0.2">
      <c r="A14" s="83" t="s">
        <v>8</v>
      </c>
    </row>
    <row r="15" spans="1:9" ht="17" x14ac:dyDescent="0.2">
      <c r="A15" s="83" t="s">
        <v>9</v>
      </c>
    </row>
    <row r="16" spans="1:9" ht="17" x14ac:dyDescent="0.2">
      <c r="A16" s="83" t="s">
        <v>10</v>
      </c>
    </row>
    <row r="17" spans="1:1" ht="17" x14ac:dyDescent="0.2">
      <c r="A17" s="83" t="s">
        <v>11</v>
      </c>
    </row>
    <row r="18" spans="1:1" ht="17" x14ac:dyDescent="0.2">
      <c r="A18" s="83" t="s">
        <v>12</v>
      </c>
    </row>
    <row r="19" spans="1:1" ht="17" x14ac:dyDescent="0.2">
      <c r="A19" s="83" t="s">
        <v>13</v>
      </c>
    </row>
    <row r="20" spans="1:1" ht="17" x14ac:dyDescent="0.2">
      <c r="A20" s="83" t="s">
        <v>14</v>
      </c>
    </row>
    <row r="21" spans="1:1" ht="17" x14ac:dyDescent="0.2">
      <c r="A21" s="83" t="s">
        <v>15</v>
      </c>
    </row>
    <row r="22" spans="1:1" ht="17" x14ac:dyDescent="0.2">
      <c r="A22" s="83" t="s">
        <v>525</v>
      </c>
    </row>
    <row r="23" spans="1:1" ht="17" x14ac:dyDescent="0.2">
      <c r="A23" s="83" t="s">
        <v>559</v>
      </c>
    </row>
    <row r="24" spans="1:1" ht="17" x14ac:dyDescent="0.2">
      <c r="A24" s="83" t="s">
        <v>544</v>
      </c>
    </row>
    <row r="25" spans="1:1" ht="17" x14ac:dyDescent="0.2">
      <c r="A25" s="83" t="s">
        <v>560</v>
      </c>
    </row>
    <row r="26" spans="1:1" ht="17" x14ac:dyDescent="0.2">
      <c r="A26" s="83" t="s">
        <v>561</v>
      </c>
    </row>
    <row r="27" spans="1:1" ht="17" x14ac:dyDescent="0.2">
      <c r="A27" s="83" t="s">
        <v>543</v>
      </c>
    </row>
    <row r="28" spans="1:1" ht="17" x14ac:dyDescent="0.2">
      <c r="A28" s="83" t="s">
        <v>511</v>
      </c>
    </row>
    <row r="29" spans="1:1" ht="17" x14ac:dyDescent="0.2">
      <c r="A29" s="83" t="s">
        <v>521</v>
      </c>
    </row>
    <row r="30" spans="1:1" ht="17" x14ac:dyDescent="0.2">
      <c r="A30" s="83" t="s">
        <v>547</v>
      </c>
    </row>
    <row r="31" spans="1:1" ht="17" x14ac:dyDescent="0.2">
      <c r="A31" s="83" t="s">
        <v>540</v>
      </c>
    </row>
    <row r="32" spans="1:1" ht="17" x14ac:dyDescent="0.2">
      <c r="A32" s="83" t="s">
        <v>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Lenders_updated</vt:lpstr>
      <vt:lpstr>WBC Credit Advisory Pipeline</vt:lpstr>
      <vt:lpstr>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Baussan Gonzalez</dc:creator>
  <cp:lastModifiedBy>Laura Baussan Gonzalez</cp:lastModifiedBy>
  <dcterms:created xsi:type="dcterms:W3CDTF">2026-02-16T21:12:27Z</dcterms:created>
  <dcterms:modified xsi:type="dcterms:W3CDTF">2026-02-16T21:25:37Z</dcterms:modified>
</cp:coreProperties>
</file>